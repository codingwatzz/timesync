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426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qior.sharepoint.com/sites/msteams-common/Freigegebene Dokumente/General/Templates/"/>
    </mc:Choice>
  </mc:AlternateContent>
  <xr:revisionPtr revIDLastSave="0" documentId="8_{54AE5808-080E-44D0-906F-A994121B3DFD}" xr6:coauthVersionLast="47" xr6:coauthVersionMax="47" xr10:uidLastSave="{00000000-0000-0000-0000-000000000000}"/>
  <bookViews>
    <workbookView xWindow="-98" yWindow="-98" windowWidth="21795" windowHeight="12975" xr2:uid="{00000000-000D-0000-FFFF-FFFF00000000}"/>
  </bookViews>
  <sheets>
    <sheet name="Spesenabrechnung" sheetId="1" r:id="rId1"/>
    <sheet name="Listen" sheetId="2" state="hidden" r:id="rId2"/>
  </sheets>
  <definedNames>
    <definedName name="AlleDaten">Spesen[[DATUM]:[BEWIRTUNG]]</definedName>
    <definedName name="AnfangsDatum">Spesenabrechnung!$H$5</definedName>
    <definedName name="_xlnm.Print_Area" localSheetId="0">Spesenabrechnung!$A$1:$S$43</definedName>
    <definedName name="_xlnm.Print_Titles" localSheetId="0">Spesenabrechnung!$10:$10</definedName>
    <definedName name="EndDatum">Spesenabrechnung!$H$6</definedName>
    <definedName name="KilometerPauschale">Spesenabrechnung!$K$4</definedName>
    <definedName name="Spaltentitel1">Spesen[[#Headers],[DATUM]]</definedName>
    <definedName name="Vorschüsse">Spesenabrechnung!#REF!</definedName>
    <definedName name="ZeilenTitelBereich1..C7">Spesenabrechnung!$B$4</definedName>
    <definedName name="ZeilenTitelBereich2..F7">Spesenabrechnung!$E$4</definedName>
    <definedName name="ZeilenTitelBereich3..J8">Spesenabrechnung!$G$4</definedName>
    <definedName name="ZeilenTitelBereich4..M8">Spesenabrechnung!$J$4</definedName>
    <definedName name="ZeilenTitelBereich5..M24">Spesenabrechnung!#REF!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12" i="1" l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11" i="1"/>
  <c r="H14" i="1"/>
  <c r="H15" i="1"/>
  <c r="K15" i="1" s="1"/>
  <c r="H16" i="1"/>
  <c r="H17" i="1"/>
  <c r="H18" i="1"/>
  <c r="H19" i="1"/>
  <c r="H20" i="1"/>
  <c r="H21" i="1"/>
  <c r="H22" i="1"/>
  <c r="K22" i="1" s="1"/>
  <c r="H23" i="1"/>
  <c r="K23" i="1" s="1"/>
  <c r="H12" i="1"/>
  <c r="H13" i="1"/>
  <c r="H24" i="1"/>
  <c r="H25" i="1"/>
  <c r="H26" i="1"/>
  <c r="H27" i="1"/>
  <c r="H28" i="1"/>
  <c r="K28" i="1" s="1"/>
  <c r="H29" i="1"/>
  <c r="H30" i="1"/>
  <c r="H31" i="1"/>
  <c r="H32" i="1"/>
  <c r="H33" i="1"/>
  <c r="H34" i="1"/>
  <c r="H35" i="1"/>
  <c r="H36" i="1"/>
  <c r="K36" i="1" s="1"/>
  <c r="H37" i="1"/>
  <c r="H38" i="1"/>
  <c r="H39" i="1"/>
  <c r="H40" i="1"/>
  <c r="H11" i="1"/>
  <c r="J41" i="1"/>
  <c r="K38" i="1" l="1"/>
  <c r="K30" i="1"/>
  <c r="K12" i="1"/>
  <c r="K37" i="1"/>
  <c r="K29" i="1"/>
  <c r="K14" i="1"/>
  <c r="K21" i="1"/>
  <c r="K20" i="1"/>
  <c r="K26" i="1"/>
  <c r="K19" i="1"/>
  <c r="K32" i="1"/>
  <c r="K27" i="1"/>
  <c r="K34" i="1"/>
  <c r="K33" i="1"/>
  <c r="K25" i="1"/>
  <c r="K40" i="1"/>
  <c r="K24" i="1"/>
  <c r="K18" i="1"/>
  <c r="K39" i="1"/>
  <c r="K31" i="1"/>
  <c r="K17" i="1"/>
  <c r="K35" i="1"/>
  <c r="K16" i="1"/>
  <c r="K13" i="1"/>
  <c r="K11" i="1"/>
  <c r="I41" i="1"/>
  <c r="H41" i="1"/>
  <c r="D41" i="1" l="1"/>
  <c r="E41" i="1"/>
  <c r="F41" i="1"/>
  <c r="K41" i="1"/>
</calcChain>
</file>

<file path=xl/sharedStrings.xml><?xml version="1.0" encoding="utf-8"?>
<sst xmlns="http://schemas.openxmlformats.org/spreadsheetml/2006/main" count="62" uniqueCount="43">
  <si>
    <t>SPESENABRECHNUNG</t>
  </si>
  <si>
    <t>DATUM</t>
  </si>
  <si>
    <t>SUMMEN</t>
  </si>
  <si>
    <t>HOTEL</t>
  </si>
  <si>
    <t>TRANSPORT</t>
  </si>
  <si>
    <t xml:space="preserve">SUMME </t>
  </si>
  <si>
    <t>Name</t>
  </si>
  <si>
    <t>sqior medical GmbH</t>
  </si>
  <si>
    <t>Hopfenstraße 8, 80335 München</t>
  </si>
  <si>
    <t>BEWIRTUNG</t>
  </si>
  <si>
    <t>KM-PAUSCHALE
 (km x 0,30 €)</t>
  </si>
  <si>
    <t>SONSTIGES</t>
  </si>
  <si>
    <t>Ort, Datum</t>
  </si>
  <si>
    <t>_____________________________</t>
  </si>
  <si>
    <t>von</t>
  </si>
  <si>
    <t>bis</t>
  </si>
  <si>
    <t>Unterschrift Mitarbeiter</t>
  </si>
  <si>
    <t>GEFAHRENE KM</t>
  </si>
  <si>
    <t>ERLÄUTERUNGEN</t>
  </si>
  <si>
    <t>VERPFLEGUNGS-MEHRAUFWAND</t>
  </si>
  <si>
    <t>BESCHREIBUNG
(Anlass, Details)</t>
  </si>
  <si>
    <t>Frühstück</t>
  </si>
  <si>
    <t>Mittagessen</t>
  </si>
  <si>
    <t>Abendessen</t>
  </si>
  <si>
    <t>Art des Reisetages</t>
  </si>
  <si>
    <t>Listen</t>
  </si>
  <si>
    <t>Abwesenheitstag (24h)</t>
  </si>
  <si>
    <t>Abwesenheitstag (&gt;8h)</t>
  </si>
  <si>
    <t>Essen bezahlt</t>
  </si>
  <si>
    <t>Ja</t>
  </si>
  <si>
    <t>Nein</t>
  </si>
  <si>
    <t>Reiseland</t>
  </si>
  <si>
    <t>Deutschland</t>
  </si>
  <si>
    <t>Österreich</t>
  </si>
  <si>
    <t>Schweiz</t>
  </si>
  <si>
    <r>
      <rPr>
        <b/>
        <sz val="11"/>
        <color theme="1"/>
        <rFont val="Arial"/>
        <family val="2"/>
      </rPr>
      <t xml:space="preserve">Beschreibung:
- Anlass der Ausgabe kurz beschreiben
- bei Fahrten mit dem privaten PKW: </t>
    </r>
    <r>
      <rPr>
        <sz val="11"/>
        <color theme="1"/>
        <rFont val="Arial"/>
        <family val="2"/>
      </rPr>
      <t xml:space="preserve">als Beschreibung bitte folgendes angeben: Reiseziel/Klinik, Reisegrund und aufgesuchter Geschäftspartner.
</t>
    </r>
    <r>
      <rPr>
        <b/>
        <sz val="11"/>
        <color theme="1"/>
        <rFont val="Arial"/>
        <family val="2"/>
      </rPr>
      <t xml:space="preserve">Kosten:
</t>
    </r>
    <r>
      <rPr>
        <sz val="11"/>
        <color theme="1"/>
        <rFont val="Arial"/>
        <family val="2"/>
      </rPr>
      <t xml:space="preserve">Kosten bitte in die jeweiligen Spalten eintragen
</t>
    </r>
    <r>
      <rPr>
        <b/>
        <sz val="11"/>
        <color theme="1"/>
        <rFont val="Arial"/>
        <family val="2"/>
      </rPr>
      <t xml:space="preserve">Bewirtungskosten:
</t>
    </r>
    <r>
      <rPr>
        <sz val="11"/>
        <color theme="1"/>
        <rFont val="Arial"/>
        <family val="2"/>
      </rPr>
      <t xml:space="preserve">zusätzlich zur Rechnung ist ein Bewirtungsbeleg notwendig (Template oder Beleger-App nutzen)
</t>
    </r>
    <r>
      <rPr>
        <b/>
        <sz val="11"/>
        <color theme="1"/>
        <rFont val="Arial"/>
        <family val="2"/>
      </rPr>
      <t>Gefahrene km:</t>
    </r>
    <r>
      <rPr>
        <sz val="11"/>
        <color theme="1"/>
        <rFont val="Arial"/>
        <family val="2"/>
      </rPr>
      <t xml:space="preserve">
Gefahrene Kilometer zur automatischen Berechnung eintragen
</t>
    </r>
    <r>
      <rPr>
        <b/>
        <sz val="11"/>
        <color theme="1"/>
        <rFont val="Arial"/>
        <family val="2"/>
      </rPr>
      <t>Verpflegungsmehraufwand</t>
    </r>
    <r>
      <rPr>
        <sz val="11"/>
        <color theme="1"/>
        <rFont val="Arial"/>
        <family val="2"/>
      </rPr>
      <t xml:space="preserve">
Zur automatischen Berechnung bitte Detailangaben ergänzen
- Reiseland (Anreisetage das Land das vor 24h erreicht wird, an Abreisetagen das Land der letzten Tätigkeit)
- Art des Reisetages
- Wurde eine Mahlzeit durch sqior bezahlt, z.B. Frühstück im Hotel, Mittagessen auf Kongress, Bezahlung der Mahlzeit durch Führungskraft</t>
    </r>
  </si>
  <si>
    <t>Ruhpolding sqior 2.0</t>
  </si>
  <si>
    <t>Zug MUC-HAM</t>
  </si>
  <si>
    <t>Max Mustermann</t>
  </si>
  <si>
    <t>_______________________________</t>
  </si>
  <si>
    <t>Anreisetag</t>
  </si>
  <si>
    <t>Abreisetag</t>
  </si>
  <si>
    <t>Kilometerpauschale, Kundenbesuch KKH NAME ORT, ANSPRECHPARTNER, KILOMETER, Hinfahrt, Rückfahrt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</si>
</sst>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44" formatCode="_-* #,##0.00\ &quot;€&quot;_-;\-* #,##0.00\ &quot;€&quot;_-;_-* &quot;-&quot;??\ &quot;€&quot;_-;_-@_-"/>
    <numFmt numFmtId="164" formatCode="&quot;$&quot;#,##0.00_);\(&quot;$&quot;#,##0.00\)"/>
    <numFmt numFmtId="165" formatCode="&quot;$&quot;#,##0.00&quot;/mile&quot;"/>
    <numFmt numFmtId="166" formatCode="&quot;$&quot;#,##0.00&quot;/day&quot;"/>
    <numFmt numFmtId="167" formatCode="&quot;$&quot;#,##0.00&quot;/night&quot;"/>
    <numFmt numFmtId="168" formatCode="#,##0.0_)&quot; mi.&quot;;\(#,##0.0\)&quot; mi.&quot;"/>
    <numFmt numFmtId="169" formatCode="[&lt;=9999999]###\-####;\(###\)\ ###\-####"/>
    <numFmt numFmtId="170" formatCode="&quot;€&quot;#,##0.00&quot;/km&quot;"/>
    <numFmt numFmtId="171" formatCode="&quot;€&quot;#,##0.00&quot;/Tag&quot;"/>
    <numFmt numFmtId="172" formatCode="&quot;€&quot;#,##0.00&quot;/Nacht&quot;"/>
    <numFmt numFmtId="173" formatCode="_([$€-2]\ * #,##0.00_);_([$€-2]\ * \(#,##0.00\);_([$€-2]\ * &quot;-&quot;??_);_(@_)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3"/>
      <name val="Cambria"/>
      <family val="2"/>
      <scheme val="major"/>
    </font>
    <font>
      <sz val="22"/>
      <color theme="3"/>
      <name val="Cambria"/>
      <family val="2"/>
      <scheme val="major"/>
    </font>
    <font>
      <sz val="11"/>
      <color theme="3"/>
      <name val="Cambria"/>
      <family val="1"/>
      <scheme val="major"/>
    </font>
    <font>
      <sz val="11"/>
      <color theme="3"/>
      <name val="Calibri"/>
      <family val="2"/>
      <scheme val="minor"/>
    </font>
    <font>
      <sz val="11"/>
      <color theme="0"/>
      <name val="Cambria"/>
      <family val="2"/>
      <scheme val="major"/>
    </font>
    <font>
      <sz val="11"/>
      <color theme="1"/>
      <name val="Arial"/>
      <family val="2"/>
    </font>
    <font>
      <sz val="22"/>
      <color theme="3"/>
      <name val="Arial"/>
      <family val="2"/>
    </font>
    <font>
      <sz val="11"/>
      <color theme="3"/>
      <name val="Arial"/>
      <family val="2"/>
    </font>
    <font>
      <sz val="11"/>
      <color theme="0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2" tint="-0.249977111117893"/>
        <bgColor indexed="64"/>
      </patternFill>
    </fill>
  </fills>
  <borders count="10">
    <border>
      <left/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1" tint="0.34998626667073579"/>
      </right>
      <top style="thick">
        <color theme="0"/>
      </top>
      <bottom style="thin">
        <color theme="0" tint="-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ck">
        <color theme="0"/>
      </top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1" tint="0.34998626667073579"/>
      </left>
      <right style="thin">
        <color theme="0" tint="-0.499984740745262"/>
      </right>
      <top style="thick">
        <color theme="0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1" tint="0.34998626667073579"/>
      </right>
      <top style="thick">
        <color theme="0"/>
      </top>
      <bottom style="thin">
        <color theme="0" tint="-0.34998626667073579"/>
      </bottom>
      <diagonal/>
    </border>
  </borders>
  <cellStyleXfs count="19">
    <xf numFmtId="0" fontId="0" fillId="0" borderId="0">
      <alignment horizontal="left" vertical="center" wrapText="1" indent="1"/>
    </xf>
    <xf numFmtId="168" fontId="1" fillId="0" borderId="0" applyFont="0" applyFill="0" applyBorder="0" applyAlignment="0" applyProtection="0"/>
    <xf numFmtId="164" fontId="1" fillId="0" borderId="0" applyFont="0" applyFill="0" applyBorder="0" applyProtection="0">
      <alignment horizontal="right" vertical="center"/>
    </xf>
    <xf numFmtId="0" fontId="3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" fillId="0" borderId="0" applyNumberFormat="0" applyFill="0" applyBorder="0" applyProtection="0">
      <alignment vertical="center"/>
    </xf>
    <xf numFmtId="0" fontId="5" fillId="0" borderId="0" applyNumberFormat="0" applyFill="0" applyProtection="0">
      <alignment vertical="top"/>
    </xf>
    <xf numFmtId="0" fontId="4" fillId="0" borderId="1" applyNumberFormat="0" applyProtection="0">
      <alignment vertical="center"/>
    </xf>
    <xf numFmtId="0" fontId="6" fillId="2" borderId="0" applyNumberFormat="0" applyBorder="0" applyProtection="0">
      <alignment horizontal="center" vertical="center"/>
    </xf>
    <xf numFmtId="0" fontId="5" fillId="0" borderId="0" applyNumberFormat="0" applyFill="0" applyBorder="0" applyAlignment="0" applyProtection="0">
      <alignment vertical="center"/>
    </xf>
    <xf numFmtId="0" fontId="4" fillId="0" borderId="0" applyNumberFormat="0" applyProtection="0">
      <alignment horizontal="center" vertical="center"/>
    </xf>
    <xf numFmtId="0" fontId="5" fillId="0" borderId="0" applyNumberFormat="0" applyFill="0" applyBorder="0" applyProtection="0">
      <alignment horizontal="left" vertical="top"/>
    </xf>
    <xf numFmtId="14" fontId="1" fillId="0" borderId="0" applyFont="0" applyFill="0" applyBorder="0" applyAlignment="0">
      <alignment horizontal="left" vertical="center" wrapText="1" indent="1"/>
    </xf>
    <xf numFmtId="169" fontId="1" fillId="0" borderId="0" applyFont="0" applyFill="0" applyBorder="0" applyAlignment="0">
      <alignment horizontal="left" vertical="center" wrapText="1" indent="1"/>
    </xf>
    <xf numFmtId="0" fontId="1" fillId="0" borderId="2" applyNumberFormat="0" applyFont="0" applyFill="0" applyAlignment="0">
      <alignment horizontal="left" vertical="center" wrapText="1" indent="1"/>
    </xf>
    <xf numFmtId="0" fontId="1" fillId="0" borderId="3" applyNumberFormat="0" applyFont="0" applyFill="0" applyAlignment="0">
      <alignment horizontal="left" vertical="center" wrapText="1" indent="1"/>
    </xf>
    <xf numFmtId="165" fontId="5" fillId="0" borderId="0" applyFont="0" applyFill="0" applyBorder="0">
      <alignment horizontal="left" vertical="center" indent="1"/>
    </xf>
    <xf numFmtId="166" fontId="5" fillId="0" borderId="0" applyFont="0" applyFill="0" applyBorder="0">
      <alignment horizontal="left" vertical="center" indent="1"/>
    </xf>
    <xf numFmtId="167" fontId="5" fillId="0" borderId="0" applyFont="0" applyFill="0" applyBorder="0">
      <alignment horizontal="left" vertical="center" indent="1"/>
    </xf>
  </cellStyleXfs>
  <cellXfs count="45">
    <xf numFmtId="0" fontId="0" fillId="0" borderId="0" xfId="0">
      <alignment horizontal="left" vertical="center" wrapText="1" indent="1"/>
    </xf>
    <xf numFmtId="0" fontId="7" fillId="0" borderId="0" xfId="0" applyFont="1">
      <alignment horizontal="left" vertical="center" wrapText="1" indent="1"/>
    </xf>
    <xf numFmtId="0" fontId="8" fillId="0" borderId="0" xfId="3" applyFont="1" applyAlignment="1">
      <alignment horizontal="left"/>
    </xf>
    <xf numFmtId="0" fontId="9" fillId="0" borderId="0" xfId="5" applyFont="1">
      <alignment vertical="center"/>
    </xf>
    <xf numFmtId="0" fontId="9" fillId="0" borderId="0" xfId="6" applyFont="1">
      <alignment vertical="top"/>
    </xf>
    <xf numFmtId="0" fontId="9" fillId="0" borderId="1" xfId="7" applyFont="1">
      <alignment vertical="center"/>
    </xf>
    <xf numFmtId="0" fontId="9" fillId="0" borderId="0" xfId="7" applyFont="1" applyBorder="1">
      <alignment vertical="center"/>
    </xf>
    <xf numFmtId="0" fontId="7" fillId="0" borderId="0" xfId="0" applyFont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170" fontId="9" fillId="0" borderId="0" xfId="16" applyNumberFormat="1" applyFont="1" applyBorder="1">
      <alignment horizontal="left" vertical="center" indent="1"/>
    </xf>
    <xf numFmtId="169" fontId="7" fillId="0" borderId="0" xfId="13" applyFont="1" applyFill="1" applyAlignment="1">
      <alignment vertical="center" wrapText="1"/>
    </xf>
    <xf numFmtId="171" fontId="9" fillId="0" borderId="0" xfId="17" applyNumberFormat="1" applyFont="1" applyBorder="1">
      <alignment horizontal="left" vertical="center" indent="1"/>
    </xf>
    <xf numFmtId="172" fontId="9" fillId="0" borderId="0" xfId="18" applyNumberFormat="1" applyFont="1" applyBorder="1">
      <alignment horizontal="left" vertical="center" indent="1"/>
    </xf>
    <xf numFmtId="168" fontId="7" fillId="0" borderId="0" xfId="0" applyNumberFormat="1" applyFont="1">
      <alignment horizontal="left" vertical="center" wrapText="1" indent="1"/>
    </xf>
    <xf numFmtId="0" fontId="7" fillId="0" borderId="0" xfId="0" applyFont="1" applyAlignment="1">
      <alignment vertical="center" wrapText="1"/>
    </xf>
    <xf numFmtId="0" fontId="7" fillId="0" borderId="0" xfId="0" applyFont="1" applyAlignment="1">
      <alignment horizontal="left" vertical="center" wrapText="1"/>
    </xf>
    <xf numFmtId="0" fontId="13" fillId="0" borderId="0" xfId="0" applyFont="1">
      <alignment horizontal="left" vertical="center" wrapText="1" indent="1"/>
    </xf>
    <xf numFmtId="0" fontId="0" fillId="0" borderId="0" xfId="0" quotePrefix="1">
      <alignment horizontal="left" vertical="center" wrapText="1" indent="1"/>
    </xf>
    <xf numFmtId="0" fontId="0" fillId="3" borderId="0" xfId="0" applyFill="1">
      <alignment horizontal="left" vertical="center" wrapText="1" indent="1"/>
    </xf>
    <xf numFmtId="169" fontId="7" fillId="4" borderId="0" xfId="13" applyFont="1" applyFill="1" applyAlignment="1" applyProtection="1">
      <alignment vertical="center" wrapText="1"/>
      <protection locked="0"/>
    </xf>
    <xf numFmtId="0" fontId="10" fillId="3" borderId="0" xfId="8" applyFont="1" applyFill="1" applyBorder="1">
      <alignment horizontal="center" vertical="center"/>
    </xf>
    <xf numFmtId="0" fontId="10" fillId="3" borderId="0" xfId="8" applyFont="1" applyFill="1" applyBorder="1" applyAlignment="1">
      <alignment horizontal="center" vertical="center" wrapText="1"/>
    </xf>
    <xf numFmtId="0" fontId="11" fillId="3" borderId="4" xfId="8" applyFont="1" applyFill="1" applyBorder="1">
      <alignment horizontal="center" vertical="center"/>
    </xf>
    <xf numFmtId="0" fontId="11" fillId="3" borderId="9" xfId="8" applyFont="1" applyFill="1" applyBorder="1" applyAlignment="1">
      <alignment horizontal="center" vertical="center" textRotation="45"/>
    </xf>
    <xf numFmtId="0" fontId="11" fillId="3" borderId="5" xfId="8" applyFont="1" applyFill="1" applyBorder="1" applyAlignment="1">
      <alignment horizontal="center" vertical="center" textRotation="45" wrapText="1"/>
    </xf>
    <xf numFmtId="0" fontId="11" fillId="3" borderId="7" xfId="8" applyFont="1" applyFill="1" applyBorder="1">
      <alignment horizontal="center" vertical="center"/>
    </xf>
    <xf numFmtId="0" fontId="7" fillId="3" borderId="0" xfId="0" applyFont="1" applyFill="1" applyAlignment="1">
      <alignment horizontal="left" vertical="center" indent="1"/>
    </xf>
    <xf numFmtId="0" fontId="7" fillId="3" borderId="0" xfId="0" applyFont="1" applyFill="1" applyAlignment="1">
      <alignment horizontal="left" vertical="center"/>
    </xf>
    <xf numFmtId="173" fontId="7" fillId="3" borderId="0" xfId="0" applyNumberFormat="1" applyFont="1" applyFill="1" applyAlignment="1">
      <alignment horizontal="right" vertical="center"/>
    </xf>
    <xf numFmtId="44" fontId="7" fillId="3" borderId="0" xfId="0" applyNumberFormat="1" applyFont="1" applyFill="1" applyAlignment="1">
      <alignment horizontal="left" vertical="center"/>
    </xf>
    <xf numFmtId="173" fontId="7" fillId="5" borderId="0" xfId="2" applyNumberFormat="1" applyFont="1" applyFill="1">
      <alignment horizontal="right" vertical="center"/>
    </xf>
    <xf numFmtId="0" fontId="7" fillId="4" borderId="0" xfId="0" applyFont="1" applyFill="1" applyProtection="1">
      <alignment horizontal="left" vertical="center" wrapText="1" indent="1"/>
      <protection locked="0"/>
    </xf>
    <xf numFmtId="173" fontId="7" fillId="4" borderId="0" xfId="2" applyNumberFormat="1" applyFont="1" applyFill="1" applyProtection="1">
      <alignment horizontal="right" vertical="center"/>
      <protection locked="0"/>
    </xf>
    <xf numFmtId="49" fontId="9" fillId="4" borderId="6" xfId="2" applyNumberFormat="1" applyFont="1" applyFill="1" applyBorder="1" applyAlignment="1" applyProtection="1">
      <alignment horizontal="left" vertical="center"/>
      <protection locked="0"/>
    </xf>
    <xf numFmtId="173" fontId="9" fillId="4" borderId="6" xfId="2" applyNumberFormat="1" applyFont="1" applyFill="1" applyBorder="1" applyAlignment="1" applyProtection="1">
      <alignment horizontal="center" vertical="center"/>
      <protection locked="0"/>
    </xf>
    <xf numFmtId="14" fontId="7" fillId="4" borderId="0" xfId="12" applyFont="1" applyFill="1" applyAlignment="1" applyProtection="1">
      <alignment horizontal="left" vertical="center" indent="1"/>
      <protection locked="0"/>
    </xf>
    <xf numFmtId="14" fontId="9" fillId="4" borderId="6" xfId="12" applyFont="1" applyFill="1" applyBorder="1" applyAlignment="1" applyProtection="1">
      <alignment horizontal="left" vertical="center" indent="1"/>
      <protection locked="0"/>
    </xf>
    <xf numFmtId="1" fontId="7" fillId="4" borderId="0" xfId="2" applyNumberFormat="1" applyFont="1" applyFill="1" applyProtection="1">
      <alignment horizontal="right" vertical="center"/>
      <protection locked="0"/>
    </xf>
    <xf numFmtId="0" fontId="7" fillId="0" borderId="8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0" xfId="0" applyFont="1" applyAlignment="1">
      <alignment horizontal="left" vertical="center" wrapText="1"/>
    </xf>
    <xf numFmtId="169" fontId="7" fillId="0" borderId="0" xfId="13" applyFont="1">
      <alignment horizontal="left" vertical="center" wrapText="1" indent="1"/>
    </xf>
    <xf numFmtId="0" fontId="9" fillId="0" borderId="0" xfId="4" applyFont="1" applyAlignment="1">
      <alignment horizontal="left" vertical="center" wrapText="1" indent="1"/>
    </xf>
    <xf numFmtId="0" fontId="7" fillId="0" borderId="0" xfId="0" applyFont="1">
      <alignment horizontal="left" vertical="center" wrapText="1" indent="1"/>
    </xf>
    <xf numFmtId="0" fontId="7" fillId="0" borderId="0" xfId="0" applyFont="1" applyAlignment="1" applyProtection="1">
      <alignment wrapText="1"/>
      <protection locked="0"/>
    </xf>
  </cellXfs>
  <cellStyles count="19">
    <cellStyle name="Besuchter Hyperlink" xfId="9" builtinId="9" customBuiltin="1"/>
    <cellStyle name="Datum" xfId="12" xr:uid="{00000000-0005-0000-0000-000001000000}"/>
    <cellStyle name="Eingabe" xfId="10" builtinId="20" customBuiltin="1"/>
    <cellStyle name="Erklärender Text" xfId="11" builtinId="53" customBuiltin="1"/>
    <cellStyle name="Komma" xfId="1" builtinId="3" customBuiltin="1"/>
    <cellStyle name="Link" xfId="4" builtinId="8" customBuiltin="1"/>
    <cellStyle name="Linker Rand" xfId="14" xr:uid="{00000000-0005-0000-0000-000006000000}"/>
    <cellStyle name="Pro Kilometer" xfId="16" xr:uid="{00000000-0005-0000-0000-000007000000}"/>
    <cellStyle name="Pro Nacht" xfId="18" xr:uid="{00000000-0005-0000-0000-000008000000}"/>
    <cellStyle name="Pro Tag" xfId="17" xr:uid="{00000000-0005-0000-0000-000009000000}"/>
    <cellStyle name="Rechter Rand" xfId="15" xr:uid="{00000000-0005-0000-0000-00000A000000}"/>
    <cellStyle name="Standard" xfId="0" builtinId="0" customBuiltin="1"/>
    <cellStyle name="Telefon" xfId="13" xr:uid="{00000000-0005-0000-0000-00000C000000}"/>
    <cellStyle name="Überschrift" xfId="3" builtinId="15" customBuiltin="1"/>
    <cellStyle name="Überschrift 1" xfId="5" builtinId="16" customBuiltin="1"/>
    <cellStyle name="Überschrift 2" xfId="6" builtinId="17" customBuiltin="1"/>
    <cellStyle name="Überschrift 3" xfId="7" builtinId="18" customBuiltin="1"/>
    <cellStyle name="Überschrift 4" xfId="8" builtinId="19" customBuiltin="1"/>
    <cellStyle name="Währung" xfId="2" builtinId="4" customBuiltin="1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3" formatCode="_([$€-2]\ * #,##0.00_);_([$€-2]\ * \(#,##0.00\);_([$€-2]\ * &quot;-&quot;??_);_(@_)"/>
      <fill>
        <patternFill patternType="solid">
          <fgColor indexed="64"/>
          <bgColor rgb="FF00B0F0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scheme val="none"/>
      </font>
      <numFmt numFmtId="173" formatCode="_([$€-2]\ * #,##0.00_);_([$€-2]\ * \(#,##0.00\);_([$€-2]\ * &quot;-&quot;??_);_(@_)"/>
      <fill>
        <patternFill patternType="solid">
          <fgColor indexed="64"/>
          <bgColor theme="2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3" formatCode="_([$€-2]\ * #,##0.00_);_([$€-2]\ * \(#,##0.00\);_([$€-2]\ * &quot;-&quot;??_);_(@_)"/>
      <fill>
        <patternFill patternType="solid">
          <fgColor indexed="64"/>
          <bgColor rgb="FF00B0F0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scheme val="none"/>
      </font>
      <numFmt numFmtId="173" formatCode="_([$€-2]\ * #,##0.00_);_([$€-2]\ * \(#,##0.00\);_([$€-2]\ * &quot;-&quot;??_);_(@_)"/>
      <fill>
        <patternFill patternType="solid">
          <fgColor indexed="64"/>
          <bgColor theme="2" tint="-0.1499984740745262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3" formatCode="_([$€-2]\ * #,##0.00_);_([$€-2]\ * \(#,##0.00\);_([$€-2]\ * &quot;-&quot;??_);_(@_)"/>
      <fill>
        <patternFill patternType="solid">
          <fgColor indexed="64"/>
          <bgColor rgb="FF00B0F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3" formatCode="_([$€-2]\ * #,##0.00_);_([$€-2]\ * \(#,##0.00\);_([$€-2]\ * &quot;-&quot;??_);_(@_)"/>
      <fill>
        <patternFill patternType="solid">
          <fgColor indexed="64"/>
          <bgColor theme="2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3" formatCode="_([$€-2]\ * #,##0.00_);_([$€-2]\ * \(#,##0.00\);_([$€-2]\ * &quot;-&quot;??_);_(@_)"/>
      <fill>
        <patternFill patternType="solid">
          <fgColor indexed="64"/>
          <bgColor rgb="FF00B0F0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scheme val="none"/>
      </font>
      <numFmt numFmtId="173" formatCode="_([$€-2]\ * #,##0.00_);_([$€-2]\ * \(#,##0.00\);_([$€-2]\ * &quot;-&quot;??_);_(@_)"/>
      <fill>
        <patternFill patternType="solid">
          <fgColor indexed="64"/>
          <bgColor theme="2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rgb="FF00B0F0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" formatCode="0"/>
      <fill>
        <patternFill patternType="solid">
          <fgColor indexed="64"/>
          <bgColor theme="2" tint="-0.1499984740745262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3" formatCode="_([$€-2]\ * #,##0.00_);_([$€-2]\ * \(#,##0.00\);_([$€-2]\ * &quot;-&quot;??_);_(@_)"/>
      <fill>
        <patternFill patternType="solid">
          <fgColor indexed="64"/>
          <bgColor rgb="FF00B0F0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scheme val="none"/>
      </font>
      <numFmt numFmtId="173" formatCode="_([$€-2]\ * #,##0.00_);_([$€-2]\ * \(#,##0.00\);_([$€-2]\ * &quot;-&quot;??_);_(@_)"/>
      <fill>
        <patternFill patternType="solid">
          <fgColor indexed="64"/>
          <bgColor theme="2" tint="-0.1499984740745262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3" formatCode="_([$€-2]\ * #,##0.00_);_([$€-2]\ * \(#,##0.00\);_([$€-2]\ * &quot;-&quot;??_);_(@_)"/>
      <fill>
        <patternFill patternType="solid">
          <fgColor indexed="64"/>
          <bgColor rgb="FF00B0F0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scheme val="none"/>
      </font>
      <numFmt numFmtId="173" formatCode="_([$€-2]\ * #,##0.00_);_([$€-2]\ * \(#,##0.00\);_([$€-2]\ * &quot;-&quot;??_);_(@_)"/>
      <fill>
        <patternFill patternType="solid">
          <fgColor indexed="64"/>
          <bgColor theme="2" tint="-0.1499984740745262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3" formatCode="_([$€-2]\ * #,##0.00_);_([$€-2]\ * \(#,##0.00\);_([$€-2]\ * &quot;-&quot;??_);_(@_)"/>
      <fill>
        <patternFill patternType="solid">
          <fgColor indexed="64"/>
          <bgColor rgb="FF00B0F0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scheme val="none"/>
      </font>
      <numFmt numFmtId="173" formatCode="_([$€-2]\ * #,##0.00_);_([$€-2]\ * \(#,##0.00\);_([$€-2]\ * &quot;-&quot;??_);_(@_)"/>
      <fill>
        <patternFill patternType="solid">
          <fgColor indexed="64"/>
          <bgColor theme="2" tint="-0.14999847407452621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00B0F0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solid">
          <fgColor indexed="64"/>
          <bgColor theme="2" tint="-0.1499984740745262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00B0F0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scheme val="none"/>
      </font>
      <numFmt numFmtId="19" formatCode="dd/mm/yyyy"/>
      <fill>
        <patternFill patternType="solid">
          <fgColor indexed="64"/>
          <bgColor theme="2" tint="-0.1499984740745262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00B0F0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solid">
          <fgColor indexed="64"/>
          <bgColor rgb="FF00B0F0"/>
        </patternFill>
      </fill>
    </dxf>
    <dxf>
      <font>
        <b/>
        <i val="0"/>
        <color theme="3"/>
      </font>
      <fill>
        <patternFill>
          <bgColor theme="0" tint="-0.14996795556505021"/>
        </patternFill>
      </fill>
      <border>
        <horizontal/>
      </border>
    </dxf>
    <dxf>
      <font>
        <b/>
        <i val="0"/>
        <color theme="0"/>
      </font>
      <fill>
        <patternFill patternType="solid">
          <fgColor theme="5"/>
          <bgColor theme="1" tint="0.499984740745262"/>
        </patternFill>
      </fill>
      <border>
        <top style="thick">
          <color theme="0"/>
        </top>
        <vertical style="thin">
          <color theme="1" tint="0.34998626667073579"/>
        </vertical>
        <horizontal/>
      </border>
    </dxf>
    <dxf>
      <font>
        <b val="0"/>
        <i val="0"/>
        <color theme="3"/>
      </font>
      <fill>
        <patternFill patternType="none">
          <bgColor auto="1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34998626667073579"/>
        </horizontal>
      </border>
    </dxf>
  </dxfs>
  <tableStyles count="1" defaultTableStyle="Spesenabrechnung" defaultPivotStyle="PivotStyleLight16">
    <tableStyle name="Spesenabrechnung" pivot="0" count="3" xr9:uid="{00000000-0011-0000-FFFF-FFFF00000000}">
      <tableStyleElement type="wholeTable" dxfId="25"/>
      <tableStyleElement type="headerRow" dxfId="24"/>
      <tableStyleElement type="totalRow" dxfId="2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pesen" displayName="Spesen" ref="B10:K41" totalsRowCount="1" headerRowDxfId="22" dataDxfId="21" totalsRowDxfId="20">
  <sortState xmlns:xlrd2="http://schemas.microsoft.com/office/spreadsheetml/2017/richdata2" ref="B11:K40">
    <sortCondition ref="B11:B40"/>
  </sortState>
  <tableColumns count="10">
    <tableColumn id="1" xr3:uid="{00000000-0010-0000-0000-000001000000}" name="DATUM" totalsRowLabel="SUMMEN" dataDxfId="19" totalsRowDxfId="18"/>
    <tableColumn id="3" xr3:uid="{00000000-0010-0000-0000-000003000000}" name="BESCHREIBUNG_x000a_(Anlass, Details)" dataDxfId="17" totalsRowDxfId="16"/>
    <tableColumn id="4" xr3:uid="{00000000-0010-0000-0000-000004000000}" name="HOTEL" totalsRowFunction="sum" dataDxfId="15" totalsRowDxfId="14"/>
    <tableColumn id="5" xr3:uid="{00000000-0010-0000-0000-000005000000}" name="TRANSPORT" totalsRowFunction="sum" dataDxfId="13" totalsRowDxfId="12"/>
    <tableColumn id="10" xr3:uid="{00000000-0010-0000-0000-00000A000000}" name="BEWIRTUNG" totalsRowFunction="sum" dataDxfId="11" totalsRowDxfId="10"/>
    <tableColumn id="2" xr3:uid="{4D35B00E-A6EE-6F40-A20B-A6D740C1A4F6}" name="GEFAHRENE KM" dataDxfId="9" totalsRowDxfId="8"/>
    <tableColumn id="6" xr3:uid="{00000000-0010-0000-0000-000006000000}" name="KM-PAUSCHALE_x000a_ (km x 0,30 €)" totalsRowFunction="sum" dataDxfId="7" totalsRowDxfId="6">
      <calculatedColumnFormula>Spesen[[#This Row],[GEFAHRENE KM]]*0.3</calculatedColumnFormula>
    </tableColumn>
    <tableColumn id="7" xr3:uid="{3E04CDE8-9DD1-0746-BEAF-ADB544755815}" name="VERPFLEGUNGS-MEHRAUFWAND" totalsRowFunction="sum" dataDxfId="5" totalsRowDxfId="4">
      <calculatedColumnFormula>_xlfn.LET(
    _xlpm.reiseland, N11,
    _xlpm.reiseart, O11,
    _xlpm.fruehstueck, IF(P11="Ja", TRUE, FALSE),
    _xlpm.mittagessen, IF(Q11="Ja", TRUE, FALSE),
    _xlpm.abendessen, IF(R11="Ja", TRUE, FALSE),
    _xlpm.tagessatz, IF(_xlpm.reiseart="Abwesenheitstag (24h)",
        IF(_xlpm.reiseland="Deutschland", 28,
        IF(_xlpm.reiseland="Österreich", 50,
        IF(_xlpm.reiseland="Schweiz", 64, 0))),
        IF(_xlpm.reiseart="Abwesenheitstag (&gt;8h)",
        IF(_xlpm.reiseland="Deutschland", 14,
        IF(_xlpm.reiseland="Österreich", 33,
        IF(_xlpm.reiseland="Schweiz", 43, 0))),
        IF(OR(_xlpm.reiseart="Anreisetag", _xlpm.reiseart="Abreisetag"),
        IF(_xlpm.reiseland="Deutschland", 14,
        IF(_xlpm.reiseland="Österreich", 33,
        IF(_xlpm.reiseland="Schweiz", 43, 0))),
        0))),
    _xlpm.reduktion, _xlpm.tagessatz * (IF(_xlpm.fruehstueck, 0.2, 0) + IF(_xlpm.mittagessen, 0.4, 0) + IF(_xlpm.abendessen, 0.4, 0)),
    MAX(0, _xlpm.tagessatz - _xlpm.reduktion)
)</calculatedColumnFormula>
    </tableColumn>
    <tableColumn id="12" xr3:uid="{00000000-0010-0000-0000-00000C000000}" name="SONSTIGES" totalsRowFunction="custom" dataDxfId="3" totalsRowDxfId="2">
      <totalsRowFormula>SUBTOTAL(109, Spesen[SONSTIGES])</totalsRowFormula>
    </tableColumn>
    <tableColumn id="11" xr3:uid="{00000000-0010-0000-0000-00000B000000}" name="SUMME " totalsRowFunction="sum" dataDxfId="1" totalsRowDxfId="0">
      <calculatedColumnFormula>SUM(Spesen[[#This Row],[HOTEL]:[BEWIRTUNG]],Spesen[[#This Row],[KM-PAUSCHALE
 (km x 0,30 €)]:[SONSTIGES]])</calculatedColumnFormula>
    </tableColumn>
  </tableColumns>
  <tableStyleInfo name="Spesenabrechnung" showFirstColumn="0" showLastColumn="0" showRowStripes="1" showColumnStripes="0"/>
  <extLst>
    <ext xmlns:x14="http://schemas.microsoft.com/office/spreadsheetml/2009/9/main" uri="{504A1905-F514-4f6f-8877-14C23A59335A}">
      <x14:table altTextSummary="Geben Sie Reisedetails, wie das Datum, die verschiedenen Ausgaben und den Anfangs- und Endstand des Tachometers in dieser Tabelle ein. Gesamtfahrleistung und Gesamtausgaben werden automatisch berechnet."/>
    </ext>
  </extLst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Soho">
  <a:themeElements>
    <a:clrScheme name="Expense Report">
      <a:dk1>
        <a:srgbClr val="000000"/>
      </a:dk1>
      <a:lt1>
        <a:srgbClr val="FFFFFF"/>
      </a:lt1>
      <a:dk2>
        <a:srgbClr val="2E2224"/>
      </a:dk2>
      <a:lt2>
        <a:srgbClr val="FFFFFF"/>
      </a:lt2>
      <a:accent1>
        <a:srgbClr val="664B42"/>
      </a:accent1>
      <a:accent2>
        <a:srgbClr val="4B5A60"/>
      </a:accent2>
      <a:accent3>
        <a:srgbClr val="9C5238"/>
      </a:accent3>
      <a:accent4>
        <a:srgbClr val="C1AD79"/>
      </a:accent4>
      <a:accent5>
        <a:srgbClr val="667559"/>
      </a:accent5>
      <a:accent6>
        <a:srgbClr val="604965"/>
      </a:accent6>
      <a:hlink>
        <a:srgbClr val="4B5A60"/>
      </a:hlink>
      <a:folHlink>
        <a:srgbClr val="604965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SOHO">
      <a:fillStyleLst>
        <a:solidFill>
          <a:schemeClr val="phClr"/>
        </a:solidFill>
        <a:gradFill rotWithShape="1">
          <a:gsLst>
            <a:gs pos="0">
              <a:schemeClr val="phClr">
                <a:tint val="45000"/>
                <a:satMod val="200000"/>
              </a:schemeClr>
            </a:gs>
            <a:gs pos="30000">
              <a:schemeClr val="phClr">
                <a:tint val="61000"/>
                <a:satMod val="200000"/>
              </a:schemeClr>
            </a:gs>
            <a:gs pos="45000">
              <a:schemeClr val="phClr">
                <a:tint val="66000"/>
                <a:satMod val="200000"/>
              </a:schemeClr>
            </a:gs>
            <a:gs pos="55000">
              <a:schemeClr val="phClr">
                <a:tint val="66000"/>
                <a:satMod val="200000"/>
              </a:schemeClr>
            </a:gs>
            <a:gs pos="73000">
              <a:schemeClr val="phClr">
                <a:tint val="61000"/>
                <a:satMod val="200000"/>
              </a:schemeClr>
            </a:gs>
            <a:gs pos="100000">
              <a:schemeClr val="phClr">
                <a:tint val="45000"/>
                <a:satMod val="200000"/>
              </a:schemeClr>
            </a:gs>
          </a:gsLst>
          <a:lin ang="950000" scaled="1"/>
        </a:gradFill>
        <a:gradFill rotWithShape="1">
          <a:gsLst>
            <a:gs pos="0">
              <a:schemeClr val="phClr">
                <a:shade val="67000"/>
                <a:satMod val="150000"/>
              </a:schemeClr>
            </a:gs>
            <a:gs pos="30000">
              <a:schemeClr val="phClr">
                <a:shade val="94000"/>
                <a:satMod val="130000"/>
              </a:schemeClr>
            </a:gs>
            <a:gs pos="45000">
              <a:schemeClr val="phClr">
                <a:shade val="100000"/>
                <a:satMod val="120000"/>
              </a:schemeClr>
            </a:gs>
            <a:gs pos="55000">
              <a:schemeClr val="phClr">
                <a:shade val="100000"/>
                <a:satMod val="118000"/>
              </a:schemeClr>
            </a:gs>
            <a:gs pos="73000">
              <a:schemeClr val="phClr">
                <a:shade val="94000"/>
                <a:satMod val="130000"/>
              </a:schemeClr>
            </a:gs>
            <a:gs pos="100000">
              <a:schemeClr val="phClr">
                <a:shade val="67000"/>
                <a:satMod val="150000"/>
              </a:schemeClr>
            </a:gs>
          </a:gsLst>
          <a:lin ang="950000" scaled="1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38100" dist="25400" dir="2700000" algn="br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38100" dir="2700000" algn="br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38100" dir="2700000" algn="br" rotWithShape="0">
              <a:srgbClr val="000000">
                <a:alpha val="40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2700000"/>
            </a:lightRig>
          </a:scene3d>
          <a:sp3d contourW="19050">
            <a:bevelT w="31750" h="38100"/>
            <a:contourClr>
              <a:schemeClr val="phClr">
                <a:shade val="15000"/>
                <a:satMod val="11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64000"/>
                <a:satMod val="210000"/>
              </a:schemeClr>
            </a:gs>
            <a:gs pos="40000">
              <a:schemeClr val="phClr">
                <a:tint val="72000"/>
                <a:shade val="99000"/>
                <a:satMod val="200000"/>
              </a:schemeClr>
            </a:gs>
            <a:gs pos="100000">
              <a:schemeClr val="phClr">
                <a:tint val="100000"/>
                <a:shade val="30000"/>
                <a:alpha val="100000"/>
                <a:satMod val="175000"/>
                <a:lumMod val="100000"/>
              </a:schemeClr>
            </a:gs>
          </a:gsLst>
          <a:path path="circle">
            <a:fillToRect l="50000" t="-80000" r="50000" b="180000"/>
          </a:path>
        </a:gradFill>
        <a:blipFill rotWithShape="1">
          <a:blip xmlns:r="http://schemas.openxmlformats.org/officeDocument/2006/relationships" r:embed="rId1">
            <a:duotone>
              <a:schemeClr val="phClr">
                <a:tint val="86000"/>
                <a:alpha val="90000"/>
              </a:schemeClr>
              <a:schemeClr val="phClr">
                <a:shade val="49000"/>
                <a:satMod val="120000"/>
              </a:schemeClr>
            </a:duotone>
          </a:blip>
          <a:stretch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5"/>
    <pageSetUpPr autoPageBreaks="0" fitToPage="1"/>
  </sheetPr>
  <dimension ref="B1:T43"/>
  <sheetViews>
    <sheetView showGridLines="0" tabSelected="1" topLeftCell="A6" zoomScale="73" zoomScaleNormal="100" workbookViewId="0">
      <selection activeCell="N11" sqref="N11"/>
    </sheetView>
  </sheetViews>
  <sheetFormatPr baseColWidth="10" defaultColWidth="9.1328125" defaultRowHeight="13.5" x14ac:dyDescent="0.45"/>
  <cols>
    <col min="1" max="1" width="2.6640625" style="1" customWidth="1"/>
    <col min="2" max="2" width="14" style="1" customWidth="1"/>
    <col min="3" max="3" width="26" style="1" customWidth="1"/>
    <col min="4" max="11" width="16.796875" style="1" customWidth="1"/>
    <col min="12" max="13" width="2.6640625" style="1" customWidth="1"/>
    <col min="14" max="14" width="19.796875" style="1" bestFit="1" customWidth="1"/>
    <col min="15" max="15" width="27.33203125" style="1" bestFit="1" customWidth="1"/>
    <col min="16" max="18" width="5.46484375" style="1" customWidth="1"/>
    <col min="19" max="19" width="16.6640625" style="1" customWidth="1"/>
    <col min="20" max="20" width="59.796875" style="1" customWidth="1"/>
    <col min="21" max="16384" width="9.1328125" style="1"/>
  </cols>
  <sheetData>
    <row r="1" spans="2:20" ht="27.4" x14ac:dyDescent="0.7">
      <c r="B1" s="2" t="s">
        <v>0</v>
      </c>
    </row>
    <row r="2" spans="2:20" x14ac:dyDescent="0.45">
      <c r="B2" s="3" t="s">
        <v>7</v>
      </c>
    </row>
    <row r="3" spans="2:20" x14ac:dyDescent="0.45">
      <c r="B3" s="4" t="s">
        <v>8</v>
      </c>
    </row>
    <row r="4" spans="2:20" x14ac:dyDescent="0.45">
      <c r="B4" s="5"/>
      <c r="C4" s="41"/>
      <c r="D4" s="41"/>
      <c r="E4" s="6"/>
      <c r="F4" s="7"/>
      <c r="G4" s="8"/>
      <c r="J4" s="6"/>
      <c r="K4" s="9"/>
    </row>
    <row r="5" spans="2:20" x14ac:dyDescent="0.45">
      <c r="B5" s="5" t="s">
        <v>6</v>
      </c>
      <c r="C5" s="19" t="s">
        <v>38</v>
      </c>
      <c r="D5" s="10"/>
      <c r="E5" s="6"/>
      <c r="G5" s="5" t="s">
        <v>14</v>
      </c>
      <c r="H5" s="36">
        <v>45717</v>
      </c>
      <c r="I5" s="6"/>
      <c r="J5" s="6"/>
      <c r="K5" s="11"/>
    </row>
    <row r="6" spans="2:20" x14ac:dyDescent="0.45">
      <c r="B6" s="5"/>
      <c r="C6" s="42"/>
      <c r="D6" s="43"/>
      <c r="E6" s="6"/>
      <c r="G6" s="5" t="s">
        <v>15</v>
      </c>
      <c r="H6" s="36">
        <v>45747</v>
      </c>
      <c r="I6" s="6"/>
      <c r="J6" s="6"/>
      <c r="K6" s="12"/>
    </row>
    <row r="7" spans="2:20" x14ac:dyDescent="0.45">
      <c r="B7" s="5"/>
      <c r="C7" s="43"/>
      <c r="D7" s="43"/>
      <c r="E7" s="6"/>
      <c r="G7" s="5"/>
      <c r="J7" s="6"/>
      <c r="K7" s="11"/>
    </row>
    <row r="8" spans="2:20" x14ac:dyDescent="0.45">
      <c r="G8" s="5"/>
      <c r="J8" s="6"/>
      <c r="K8" s="11"/>
    </row>
    <row r="9" spans="2:20" ht="13.9" thickBot="1" x14ac:dyDescent="0.5"/>
    <row r="10" spans="2:20" ht="58.15" thickTop="1" x14ac:dyDescent="0.45">
      <c r="B10" s="20" t="s">
        <v>1</v>
      </c>
      <c r="C10" s="21" t="s">
        <v>20</v>
      </c>
      <c r="D10" s="20" t="s">
        <v>3</v>
      </c>
      <c r="E10" s="20" t="s">
        <v>4</v>
      </c>
      <c r="F10" s="20" t="s">
        <v>9</v>
      </c>
      <c r="G10" s="21" t="s">
        <v>17</v>
      </c>
      <c r="H10" s="21" t="s">
        <v>10</v>
      </c>
      <c r="I10" s="21" t="s">
        <v>19</v>
      </c>
      <c r="J10" s="21" t="s">
        <v>11</v>
      </c>
      <c r="K10" s="20" t="s">
        <v>5</v>
      </c>
      <c r="N10" s="22" t="s">
        <v>31</v>
      </c>
      <c r="O10" s="22" t="s">
        <v>24</v>
      </c>
      <c r="P10" s="23" t="s">
        <v>21</v>
      </c>
      <c r="Q10" s="23" t="s">
        <v>22</v>
      </c>
      <c r="R10" s="24" t="s">
        <v>23</v>
      </c>
      <c r="T10" s="25" t="s">
        <v>18</v>
      </c>
    </row>
    <row r="11" spans="2:20" x14ac:dyDescent="0.45">
      <c r="B11" s="35">
        <v>45726</v>
      </c>
      <c r="C11" s="31" t="s">
        <v>36</v>
      </c>
      <c r="D11" s="32">
        <v>0</v>
      </c>
      <c r="E11" s="32">
        <v>0</v>
      </c>
      <c r="F11" s="32">
        <v>0</v>
      </c>
      <c r="G11" s="37"/>
      <c r="H11" s="30">
        <f>Spesen[[#This Row],[GEFAHRENE KM]]*0.3</f>
        <v>0</v>
      </c>
      <c r="I11" s="30">
        <f>_xlfn.LET(
    _xlpm.reiseland, N11,
    _xlpm.reiseart, O11,
    _xlpm.fruehstueck, IF(P11="Ja", TRUE, FALSE),
    _xlpm.mittagessen, IF(Q11="Ja", TRUE, FALSE),
    _xlpm.abendessen, IF(R11="Ja", TRUE, FALSE),
    _xlpm.tagessatz, IF(_xlpm.reiseart="Abwesenheitstag (24h)",
        IF(_xlpm.reiseland="Deutschland", 28,
        IF(_xlpm.reiseland="Österreich", 50,
        IF(_xlpm.reiseland="Schweiz", 64, 0))),
        IF(_xlpm.reiseart="Abwesenheitstag (&gt;8h)",
        IF(_xlpm.reiseland="Deutschland", 14,
        IF(_xlpm.reiseland="Österreich", 33,
        IF(_xlpm.reiseland="Schweiz", 43, 0))),
        IF(OR(_xlpm.reiseart="Anreisetag", _xlpm.reiseart="Abreisetag"),
        IF(_xlpm.reiseland="Deutschland", 14,
        IF(_xlpm.reiseland="Österreich", 33,
        IF(_xlpm.reiseland="Schweiz", 43, 0))),
        0))),
    _xlpm.reduktion, _xlpm.tagessatz * (IF(_xlpm.fruehstueck, 0.2, 0) + IF(_xlpm.mittagessen, 0.4, 0) + IF(_xlpm.abendessen, 0.4, 0)),
    MAX(0, _xlpm.tagessatz - _xlpm.reduktion)
)</f>
        <v>14</v>
      </c>
      <c r="J11" s="32">
        <v>0</v>
      </c>
      <c r="K11" s="30">
        <f>SUM(Spesen[[#This Row],[HOTEL]:[BEWIRTUNG]],Spesen[[#This Row],[KM-PAUSCHALE
 (km x 0,30 €)]:[SONSTIGES]])</f>
        <v>14</v>
      </c>
      <c r="N11" s="33" t="s">
        <v>32</v>
      </c>
      <c r="O11" s="33" t="s">
        <v>40</v>
      </c>
      <c r="P11" s="34" t="s">
        <v>30</v>
      </c>
      <c r="Q11" s="34" t="s">
        <v>30</v>
      </c>
      <c r="R11" s="34" t="s">
        <v>30</v>
      </c>
      <c r="T11" s="38" t="s">
        <v>35</v>
      </c>
    </row>
    <row r="12" spans="2:20" x14ac:dyDescent="0.45">
      <c r="B12" s="35">
        <v>45727</v>
      </c>
      <c r="C12" s="31" t="s">
        <v>36</v>
      </c>
      <c r="D12" s="32">
        <v>0</v>
      </c>
      <c r="E12" s="32">
        <v>0</v>
      </c>
      <c r="F12" s="32">
        <v>0</v>
      </c>
      <c r="G12" s="37"/>
      <c r="H12" s="30">
        <f>Spesen[[#This Row],[GEFAHRENE KM]]*0.3</f>
        <v>0</v>
      </c>
      <c r="I12" s="30">
        <f t="shared" ref="I12:I40" si="0">_xlfn.LET(
    _xlpm.reiseland, N12,
    _xlpm.reiseart, O12,
    _xlpm.fruehstueck, IF(P12="Ja", TRUE, FALSE),
    _xlpm.mittagessen, IF(Q12="Ja", TRUE, FALSE),
    _xlpm.abendessen, IF(R12="Ja", TRUE, FALSE),
    _xlpm.tagessatz, IF(_xlpm.reiseart="Abwesenheitstag (24h)",
        IF(_xlpm.reiseland="Deutschland", 28,
        IF(_xlpm.reiseland="Österreich", 50,
        IF(_xlpm.reiseland="Schweiz", 64, 0))),
        IF(_xlpm.reiseart="Abwesenheitstag (&gt;8h)",
        IF(_xlpm.reiseland="Deutschland", 14,
        IF(_xlpm.reiseland="Österreich", 33,
        IF(_xlpm.reiseland="Schweiz", 43, 0))),
        IF(OR(_xlpm.reiseart="Anreisetag", _xlpm.reiseart="Abreisetag"),
        IF(_xlpm.reiseland="Deutschland", 14,
        IF(_xlpm.reiseland="Österreich", 33,
        IF(_xlpm.reiseland="Schweiz", 43, 0))),
        0))),
    _xlpm.reduktion, _xlpm.tagessatz * (IF(_xlpm.fruehstueck, 0.2, 0) + IF(_xlpm.mittagessen, 0.4, 0) + IF(_xlpm.abendessen, 0.4, 0)),
    MAX(0, _xlpm.tagessatz - _xlpm.reduktion)
)</f>
        <v>0</v>
      </c>
      <c r="J12" s="32">
        <v>0</v>
      </c>
      <c r="K12" s="30">
        <f>SUM(Spesen[[#This Row],[HOTEL]:[BEWIRTUNG]],Spesen[[#This Row],[KM-PAUSCHALE
 (km x 0,30 €)]:[SONSTIGES]])</f>
        <v>0</v>
      </c>
      <c r="N12" s="33" t="s">
        <v>32</v>
      </c>
      <c r="O12" s="33" t="s">
        <v>26</v>
      </c>
      <c r="P12" s="34" t="s">
        <v>29</v>
      </c>
      <c r="Q12" s="34" t="s">
        <v>29</v>
      </c>
      <c r="R12" s="34" t="s">
        <v>29</v>
      </c>
      <c r="T12" s="39"/>
    </row>
    <row r="13" spans="2:20" x14ac:dyDescent="0.45">
      <c r="B13" s="35">
        <v>45728</v>
      </c>
      <c r="C13" s="31" t="s">
        <v>36</v>
      </c>
      <c r="D13" s="32">
        <v>0</v>
      </c>
      <c r="E13" s="32">
        <v>0</v>
      </c>
      <c r="F13" s="32">
        <v>0</v>
      </c>
      <c r="G13" s="37"/>
      <c r="H13" s="30">
        <f>Spesen[[#This Row],[GEFAHRENE KM]]*0.3</f>
        <v>0</v>
      </c>
      <c r="I13" s="30">
        <f t="shared" si="0"/>
        <v>11.2</v>
      </c>
      <c r="J13" s="32">
        <v>0</v>
      </c>
      <c r="K13" s="30">
        <f>SUM(Spesen[[#This Row],[HOTEL]:[BEWIRTUNG]],Spesen[[#This Row],[KM-PAUSCHALE
 (km x 0,30 €)]:[SONSTIGES]])</f>
        <v>11.2</v>
      </c>
      <c r="N13" s="33" t="s">
        <v>32</v>
      </c>
      <c r="O13" s="33" t="s">
        <v>41</v>
      </c>
      <c r="P13" s="34" t="s">
        <v>29</v>
      </c>
      <c r="Q13" s="34" t="s">
        <v>30</v>
      </c>
      <c r="R13" s="34" t="s">
        <v>30</v>
      </c>
      <c r="T13" s="39"/>
    </row>
    <row r="14" spans="2:20" x14ac:dyDescent="0.45">
      <c r="B14" s="35">
        <v>45729</v>
      </c>
      <c r="C14" s="31" t="s">
        <v>37</v>
      </c>
      <c r="D14" s="32">
        <v>0</v>
      </c>
      <c r="E14" s="32">
        <v>58.9</v>
      </c>
      <c r="F14" s="32">
        <v>0</v>
      </c>
      <c r="G14" s="37"/>
      <c r="H14" s="30">
        <f>Spesen[[#This Row],[GEFAHRENE KM]]*0.3</f>
        <v>0</v>
      </c>
      <c r="I14" s="30">
        <f t="shared" si="0"/>
        <v>0</v>
      </c>
      <c r="J14" s="32">
        <v>0</v>
      </c>
      <c r="K14" s="30">
        <f>SUM(Spesen[[#This Row],[HOTEL]:[BEWIRTUNG]],Spesen[[#This Row],[KM-PAUSCHALE
 (km x 0,30 €)]:[SONSTIGES]])</f>
        <v>58.9</v>
      </c>
      <c r="N14" s="33"/>
      <c r="O14" s="33"/>
      <c r="P14" s="34"/>
      <c r="Q14" s="34"/>
      <c r="R14" s="34"/>
      <c r="T14" s="39"/>
    </row>
    <row r="15" spans="2:20" ht="81" x14ac:dyDescent="0.45">
      <c r="B15" s="35">
        <v>45730</v>
      </c>
      <c r="C15" s="31" t="s">
        <v>42</v>
      </c>
      <c r="D15" s="32">
        <v>0</v>
      </c>
      <c r="E15" s="32">
        <v>0</v>
      </c>
      <c r="F15" s="32">
        <v>0</v>
      </c>
      <c r="G15" s="37">
        <v>34</v>
      </c>
      <c r="H15" s="30">
        <f>Spesen[[#This Row],[GEFAHRENE KM]]*0.3</f>
        <v>10.199999999999999</v>
      </c>
      <c r="I15" s="30">
        <f t="shared" si="0"/>
        <v>0</v>
      </c>
      <c r="J15" s="32">
        <v>0</v>
      </c>
      <c r="K15" s="30">
        <f>SUM(Spesen[[#This Row],[HOTEL]:[BEWIRTUNG]],Spesen[[#This Row],[KM-PAUSCHALE
 (km x 0,30 €)]:[SONSTIGES]])</f>
        <v>10.199999999999999</v>
      </c>
      <c r="N15" s="33"/>
      <c r="O15" s="33"/>
      <c r="P15" s="34"/>
      <c r="Q15" s="34"/>
      <c r="R15" s="34"/>
      <c r="T15" s="39"/>
    </row>
    <row r="16" spans="2:20" x14ac:dyDescent="0.45">
      <c r="B16" s="35"/>
      <c r="C16" s="31"/>
      <c r="D16" s="32">
        <v>0</v>
      </c>
      <c r="E16" s="32">
        <v>0</v>
      </c>
      <c r="F16" s="32">
        <v>0</v>
      </c>
      <c r="G16" s="37"/>
      <c r="H16" s="30">
        <f>Spesen[[#This Row],[GEFAHRENE KM]]*0.3</f>
        <v>0</v>
      </c>
      <c r="I16" s="30">
        <f t="shared" si="0"/>
        <v>0</v>
      </c>
      <c r="J16" s="32">
        <v>0</v>
      </c>
      <c r="K16" s="30">
        <f>SUM(Spesen[[#This Row],[HOTEL]:[BEWIRTUNG]],Spesen[[#This Row],[KM-PAUSCHALE
 (km x 0,30 €)]:[SONSTIGES]])</f>
        <v>0</v>
      </c>
      <c r="N16" s="33"/>
      <c r="O16" s="33"/>
      <c r="P16" s="34"/>
      <c r="Q16" s="34"/>
      <c r="R16" s="34"/>
      <c r="T16" s="39"/>
    </row>
    <row r="17" spans="2:20" x14ac:dyDescent="0.45">
      <c r="B17" s="35"/>
      <c r="C17" s="31"/>
      <c r="D17" s="32">
        <v>0</v>
      </c>
      <c r="E17" s="32">
        <v>0</v>
      </c>
      <c r="F17" s="32">
        <v>0</v>
      </c>
      <c r="G17" s="37"/>
      <c r="H17" s="30">
        <f>Spesen[[#This Row],[GEFAHRENE KM]]*0.3</f>
        <v>0</v>
      </c>
      <c r="I17" s="30">
        <f t="shared" si="0"/>
        <v>0</v>
      </c>
      <c r="J17" s="32">
        <v>0</v>
      </c>
      <c r="K17" s="30">
        <f>SUM(Spesen[[#This Row],[HOTEL]:[BEWIRTUNG]],Spesen[[#This Row],[KM-PAUSCHALE
 (km x 0,30 €)]:[SONSTIGES]])</f>
        <v>0</v>
      </c>
      <c r="N17" s="33"/>
      <c r="O17" s="33"/>
      <c r="P17" s="34"/>
      <c r="Q17" s="34"/>
      <c r="R17" s="34"/>
      <c r="T17" s="39"/>
    </row>
    <row r="18" spans="2:20" x14ac:dyDescent="0.45">
      <c r="B18" s="35"/>
      <c r="C18" s="31"/>
      <c r="D18" s="32">
        <v>0</v>
      </c>
      <c r="E18" s="32">
        <v>0</v>
      </c>
      <c r="F18" s="32">
        <v>0</v>
      </c>
      <c r="G18" s="37"/>
      <c r="H18" s="30">
        <f>Spesen[[#This Row],[GEFAHRENE KM]]*0.3</f>
        <v>0</v>
      </c>
      <c r="I18" s="30">
        <f t="shared" si="0"/>
        <v>0</v>
      </c>
      <c r="J18" s="32">
        <v>0</v>
      </c>
      <c r="K18" s="30">
        <f>SUM(Spesen[[#This Row],[HOTEL]:[BEWIRTUNG]],Spesen[[#This Row],[KM-PAUSCHALE
 (km x 0,30 €)]:[SONSTIGES]])</f>
        <v>0</v>
      </c>
      <c r="N18" s="33"/>
      <c r="O18" s="33"/>
      <c r="P18" s="34"/>
      <c r="Q18" s="34"/>
      <c r="R18" s="34"/>
      <c r="T18" s="39"/>
    </row>
    <row r="19" spans="2:20" x14ac:dyDescent="0.45">
      <c r="B19" s="35"/>
      <c r="C19" s="31"/>
      <c r="D19" s="32">
        <v>0</v>
      </c>
      <c r="E19" s="32">
        <v>0</v>
      </c>
      <c r="F19" s="32">
        <v>0</v>
      </c>
      <c r="G19" s="37"/>
      <c r="H19" s="30">
        <f>Spesen[[#This Row],[GEFAHRENE KM]]*0.3</f>
        <v>0</v>
      </c>
      <c r="I19" s="30">
        <f t="shared" si="0"/>
        <v>0</v>
      </c>
      <c r="J19" s="32">
        <v>0</v>
      </c>
      <c r="K19" s="30">
        <f>SUM(Spesen[[#This Row],[HOTEL]:[BEWIRTUNG]],Spesen[[#This Row],[KM-PAUSCHALE
 (km x 0,30 €)]:[SONSTIGES]])</f>
        <v>0</v>
      </c>
      <c r="N19" s="33"/>
      <c r="O19" s="33"/>
      <c r="P19" s="34"/>
      <c r="Q19" s="34"/>
      <c r="R19" s="34"/>
      <c r="T19" s="39"/>
    </row>
    <row r="20" spans="2:20" x14ac:dyDescent="0.45">
      <c r="B20" s="35"/>
      <c r="C20" s="31"/>
      <c r="D20" s="32">
        <v>0</v>
      </c>
      <c r="E20" s="32">
        <v>0</v>
      </c>
      <c r="F20" s="32">
        <v>0</v>
      </c>
      <c r="G20" s="37"/>
      <c r="H20" s="30">
        <f>Spesen[[#This Row],[GEFAHRENE KM]]*0.3</f>
        <v>0</v>
      </c>
      <c r="I20" s="30">
        <f t="shared" si="0"/>
        <v>0</v>
      </c>
      <c r="J20" s="32">
        <v>0</v>
      </c>
      <c r="K20" s="30">
        <f>SUM(Spesen[[#This Row],[HOTEL]:[BEWIRTUNG]],Spesen[[#This Row],[KM-PAUSCHALE
 (km x 0,30 €)]:[SONSTIGES]])</f>
        <v>0</v>
      </c>
      <c r="N20" s="33"/>
      <c r="O20" s="33"/>
      <c r="P20" s="34"/>
      <c r="Q20" s="34"/>
      <c r="R20" s="34"/>
      <c r="T20" s="39"/>
    </row>
    <row r="21" spans="2:20" x14ac:dyDescent="0.45">
      <c r="B21" s="35"/>
      <c r="C21" s="31"/>
      <c r="D21" s="32">
        <v>0</v>
      </c>
      <c r="E21" s="32">
        <v>0</v>
      </c>
      <c r="F21" s="32">
        <v>0</v>
      </c>
      <c r="G21" s="37"/>
      <c r="H21" s="30">
        <f>Spesen[[#This Row],[GEFAHRENE KM]]*0.3</f>
        <v>0</v>
      </c>
      <c r="I21" s="30">
        <f t="shared" si="0"/>
        <v>0</v>
      </c>
      <c r="J21" s="32">
        <v>0</v>
      </c>
      <c r="K21" s="30">
        <f>SUM(Spesen[[#This Row],[HOTEL]:[BEWIRTUNG]],Spesen[[#This Row],[KM-PAUSCHALE
 (km x 0,30 €)]:[SONSTIGES]])</f>
        <v>0</v>
      </c>
      <c r="N21" s="33"/>
      <c r="O21" s="33"/>
      <c r="P21" s="34"/>
      <c r="Q21" s="34"/>
      <c r="R21" s="34"/>
      <c r="T21" s="39"/>
    </row>
    <row r="22" spans="2:20" x14ac:dyDescent="0.45">
      <c r="B22" s="35"/>
      <c r="C22" s="31"/>
      <c r="D22" s="32">
        <v>0</v>
      </c>
      <c r="E22" s="32">
        <v>0</v>
      </c>
      <c r="F22" s="32">
        <v>0</v>
      </c>
      <c r="G22" s="37"/>
      <c r="H22" s="30">
        <f>Spesen[[#This Row],[GEFAHRENE KM]]*0.3</f>
        <v>0</v>
      </c>
      <c r="I22" s="30">
        <f t="shared" si="0"/>
        <v>0</v>
      </c>
      <c r="J22" s="32">
        <v>0</v>
      </c>
      <c r="K22" s="30">
        <f>SUM(Spesen[[#This Row],[HOTEL]:[BEWIRTUNG]],Spesen[[#This Row],[KM-PAUSCHALE
 (km x 0,30 €)]:[SONSTIGES]])</f>
        <v>0</v>
      </c>
      <c r="N22" s="33"/>
      <c r="O22" s="33"/>
      <c r="P22" s="34"/>
      <c r="Q22" s="34"/>
      <c r="R22" s="34"/>
      <c r="T22" s="39"/>
    </row>
    <row r="23" spans="2:20" x14ac:dyDescent="0.45">
      <c r="B23" s="35"/>
      <c r="C23" s="31"/>
      <c r="D23" s="32">
        <v>0</v>
      </c>
      <c r="E23" s="32">
        <v>0</v>
      </c>
      <c r="F23" s="32">
        <v>0</v>
      </c>
      <c r="G23" s="37"/>
      <c r="H23" s="30">
        <f>Spesen[[#This Row],[GEFAHRENE KM]]*0.3</f>
        <v>0</v>
      </c>
      <c r="I23" s="30">
        <f t="shared" si="0"/>
        <v>0</v>
      </c>
      <c r="J23" s="32">
        <v>0</v>
      </c>
      <c r="K23" s="30">
        <f>SUM(Spesen[[#This Row],[HOTEL]:[BEWIRTUNG]],Spesen[[#This Row],[KM-PAUSCHALE
 (km x 0,30 €)]:[SONSTIGES]])</f>
        <v>0</v>
      </c>
      <c r="N23" s="33"/>
      <c r="O23" s="33"/>
      <c r="P23" s="34"/>
      <c r="Q23" s="34"/>
      <c r="R23" s="34"/>
      <c r="T23" s="39"/>
    </row>
    <row r="24" spans="2:20" x14ac:dyDescent="0.45">
      <c r="B24" s="35"/>
      <c r="C24" s="31"/>
      <c r="D24" s="32">
        <v>0</v>
      </c>
      <c r="E24" s="32">
        <v>0</v>
      </c>
      <c r="F24" s="32">
        <v>0</v>
      </c>
      <c r="G24" s="37"/>
      <c r="H24" s="30">
        <f>Spesen[[#This Row],[GEFAHRENE KM]]*0.3</f>
        <v>0</v>
      </c>
      <c r="I24" s="30">
        <f t="shared" si="0"/>
        <v>0</v>
      </c>
      <c r="J24" s="32">
        <v>0</v>
      </c>
      <c r="K24" s="30">
        <f>SUM(Spesen[[#This Row],[HOTEL]:[BEWIRTUNG]],Spesen[[#This Row],[KM-PAUSCHALE
 (km x 0,30 €)]:[SONSTIGES]])</f>
        <v>0</v>
      </c>
      <c r="N24" s="33"/>
      <c r="O24" s="33"/>
      <c r="P24" s="34"/>
      <c r="Q24" s="34"/>
      <c r="R24" s="34"/>
      <c r="T24" s="39"/>
    </row>
    <row r="25" spans="2:20" x14ac:dyDescent="0.45">
      <c r="B25" s="35"/>
      <c r="C25" s="31"/>
      <c r="D25" s="32">
        <v>0</v>
      </c>
      <c r="E25" s="32">
        <v>0</v>
      </c>
      <c r="F25" s="32">
        <v>0</v>
      </c>
      <c r="G25" s="37"/>
      <c r="H25" s="30">
        <f>Spesen[[#This Row],[GEFAHRENE KM]]*0.3</f>
        <v>0</v>
      </c>
      <c r="I25" s="30">
        <f t="shared" si="0"/>
        <v>0</v>
      </c>
      <c r="J25" s="32">
        <v>0</v>
      </c>
      <c r="K25" s="30">
        <f>SUM(Spesen[[#This Row],[HOTEL]:[BEWIRTUNG]],Spesen[[#This Row],[KM-PAUSCHALE
 (km x 0,30 €)]:[SONSTIGES]])</f>
        <v>0</v>
      </c>
      <c r="N25" s="33"/>
      <c r="O25" s="33"/>
      <c r="P25" s="34"/>
      <c r="Q25" s="34"/>
      <c r="R25" s="34"/>
      <c r="T25" s="39"/>
    </row>
    <row r="26" spans="2:20" x14ac:dyDescent="0.45">
      <c r="B26" s="35"/>
      <c r="C26" s="31"/>
      <c r="D26" s="32">
        <v>0</v>
      </c>
      <c r="E26" s="32">
        <v>0</v>
      </c>
      <c r="F26" s="32">
        <v>0</v>
      </c>
      <c r="G26" s="37"/>
      <c r="H26" s="30">
        <f>Spesen[[#This Row],[GEFAHRENE KM]]*0.3</f>
        <v>0</v>
      </c>
      <c r="I26" s="30">
        <f t="shared" si="0"/>
        <v>0</v>
      </c>
      <c r="J26" s="32">
        <v>0</v>
      </c>
      <c r="K26" s="30">
        <f>SUM(Spesen[[#This Row],[HOTEL]:[BEWIRTUNG]],Spesen[[#This Row],[KM-PAUSCHALE
 (km x 0,30 €)]:[SONSTIGES]])</f>
        <v>0</v>
      </c>
      <c r="N26" s="33"/>
      <c r="O26" s="33"/>
      <c r="P26" s="34"/>
      <c r="Q26" s="34"/>
      <c r="R26" s="34"/>
      <c r="T26" s="39"/>
    </row>
    <row r="27" spans="2:20" x14ac:dyDescent="0.45">
      <c r="B27" s="35"/>
      <c r="C27" s="31"/>
      <c r="D27" s="32">
        <v>0</v>
      </c>
      <c r="E27" s="32">
        <v>0</v>
      </c>
      <c r="F27" s="32">
        <v>0</v>
      </c>
      <c r="G27" s="37"/>
      <c r="H27" s="30">
        <f>Spesen[[#This Row],[GEFAHRENE KM]]*0.3</f>
        <v>0</v>
      </c>
      <c r="I27" s="30">
        <f t="shared" si="0"/>
        <v>0</v>
      </c>
      <c r="J27" s="32">
        <v>0</v>
      </c>
      <c r="K27" s="30">
        <f>SUM(Spesen[[#This Row],[HOTEL]:[BEWIRTUNG]],Spesen[[#This Row],[KM-PAUSCHALE
 (km x 0,30 €)]:[SONSTIGES]])</f>
        <v>0</v>
      </c>
      <c r="N27" s="33"/>
      <c r="O27" s="33"/>
      <c r="P27" s="34"/>
      <c r="Q27" s="34"/>
      <c r="R27" s="34"/>
      <c r="T27" s="39"/>
    </row>
    <row r="28" spans="2:20" x14ac:dyDescent="0.45">
      <c r="B28" s="35"/>
      <c r="C28" s="31"/>
      <c r="D28" s="32">
        <v>0</v>
      </c>
      <c r="E28" s="32">
        <v>0</v>
      </c>
      <c r="F28" s="32">
        <v>0</v>
      </c>
      <c r="G28" s="37"/>
      <c r="H28" s="30">
        <f>Spesen[[#This Row],[GEFAHRENE KM]]*0.3</f>
        <v>0</v>
      </c>
      <c r="I28" s="30">
        <f t="shared" si="0"/>
        <v>0</v>
      </c>
      <c r="J28" s="32">
        <v>0</v>
      </c>
      <c r="K28" s="30">
        <f>SUM(Spesen[[#This Row],[HOTEL]:[BEWIRTUNG]],Spesen[[#This Row],[KM-PAUSCHALE
 (km x 0,30 €)]:[SONSTIGES]])</f>
        <v>0</v>
      </c>
      <c r="N28" s="33"/>
      <c r="O28" s="33"/>
      <c r="P28" s="34"/>
      <c r="Q28" s="34"/>
      <c r="R28" s="34"/>
      <c r="T28" s="39"/>
    </row>
    <row r="29" spans="2:20" x14ac:dyDescent="0.45">
      <c r="B29" s="35"/>
      <c r="C29" s="31"/>
      <c r="D29" s="32">
        <v>0</v>
      </c>
      <c r="E29" s="32">
        <v>0</v>
      </c>
      <c r="F29" s="32">
        <v>0</v>
      </c>
      <c r="G29" s="37"/>
      <c r="H29" s="30">
        <f>Spesen[[#This Row],[GEFAHRENE KM]]*0.3</f>
        <v>0</v>
      </c>
      <c r="I29" s="30">
        <f t="shared" si="0"/>
        <v>0</v>
      </c>
      <c r="J29" s="32">
        <v>0</v>
      </c>
      <c r="K29" s="30">
        <f>SUM(Spesen[[#This Row],[HOTEL]:[BEWIRTUNG]],Spesen[[#This Row],[KM-PAUSCHALE
 (km x 0,30 €)]:[SONSTIGES]])</f>
        <v>0</v>
      </c>
      <c r="N29" s="33"/>
      <c r="O29" s="33"/>
      <c r="P29" s="34"/>
      <c r="Q29" s="34"/>
      <c r="R29" s="34"/>
      <c r="T29" s="39"/>
    </row>
    <row r="30" spans="2:20" x14ac:dyDescent="0.45">
      <c r="B30" s="35"/>
      <c r="C30" s="31"/>
      <c r="D30" s="32">
        <v>0</v>
      </c>
      <c r="E30" s="32">
        <v>0</v>
      </c>
      <c r="F30" s="32">
        <v>0</v>
      </c>
      <c r="G30" s="37"/>
      <c r="H30" s="30">
        <f>Spesen[[#This Row],[GEFAHRENE KM]]*0.3</f>
        <v>0</v>
      </c>
      <c r="I30" s="30">
        <f t="shared" si="0"/>
        <v>0</v>
      </c>
      <c r="J30" s="32">
        <v>0</v>
      </c>
      <c r="K30" s="30">
        <f>SUM(Spesen[[#This Row],[HOTEL]:[BEWIRTUNG]],Spesen[[#This Row],[KM-PAUSCHALE
 (km x 0,30 €)]:[SONSTIGES]])</f>
        <v>0</v>
      </c>
      <c r="N30" s="33"/>
      <c r="O30" s="33"/>
      <c r="P30" s="34"/>
      <c r="Q30" s="34"/>
      <c r="R30" s="34"/>
      <c r="T30" s="39"/>
    </row>
    <row r="31" spans="2:20" x14ac:dyDescent="0.45">
      <c r="B31" s="35"/>
      <c r="C31" s="31"/>
      <c r="D31" s="32">
        <v>0</v>
      </c>
      <c r="E31" s="32">
        <v>0</v>
      </c>
      <c r="F31" s="32">
        <v>0</v>
      </c>
      <c r="G31" s="37"/>
      <c r="H31" s="30">
        <f>Spesen[[#This Row],[GEFAHRENE KM]]*0.3</f>
        <v>0</v>
      </c>
      <c r="I31" s="30">
        <f t="shared" si="0"/>
        <v>0</v>
      </c>
      <c r="J31" s="32">
        <v>0</v>
      </c>
      <c r="K31" s="30">
        <f>SUM(Spesen[[#This Row],[HOTEL]:[BEWIRTUNG]],Spesen[[#This Row],[KM-PAUSCHALE
 (km x 0,30 €)]:[SONSTIGES]])</f>
        <v>0</v>
      </c>
      <c r="N31" s="33"/>
      <c r="O31" s="33"/>
      <c r="P31" s="34"/>
      <c r="Q31" s="34"/>
      <c r="R31" s="34"/>
      <c r="T31" s="39"/>
    </row>
    <row r="32" spans="2:20" x14ac:dyDescent="0.45">
      <c r="B32" s="35"/>
      <c r="C32" s="31"/>
      <c r="D32" s="32">
        <v>0</v>
      </c>
      <c r="E32" s="32">
        <v>0</v>
      </c>
      <c r="F32" s="32">
        <v>0</v>
      </c>
      <c r="G32" s="37"/>
      <c r="H32" s="30">
        <f>Spesen[[#This Row],[GEFAHRENE KM]]*0.3</f>
        <v>0</v>
      </c>
      <c r="I32" s="30">
        <f t="shared" si="0"/>
        <v>0</v>
      </c>
      <c r="J32" s="32">
        <v>0</v>
      </c>
      <c r="K32" s="30">
        <f>SUM(Spesen[[#This Row],[HOTEL]:[BEWIRTUNG]],Spesen[[#This Row],[KM-PAUSCHALE
 (km x 0,30 €)]:[SONSTIGES]])</f>
        <v>0</v>
      </c>
      <c r="N32" s="33"/>
      <c r="O32" s="33"/>
      <c r="P32" s="34"/>
      <c r="Q32" s="34"/>
      <c r="R32" s="34"/>
      <c r="T32" s="39"/>
    </row>
    <row r="33" spans="2:20" x14ac:dyDescent="0.45">
      <c r="B33" s="35"/>
      <c r="C33" s="31"/>
      <c r="D33" s="32">
        <v>0</v>
      </c>
      <c r="E33" s="32">
        <v>0</v>
      </c>
      <c r="F33" s="32">
        <v>0</v>
      </c>
      <c r="G33" s="37"/>
      <c r="H33" s="30">
        <f>Spesen[[#This Row],[GEFAHRENE KM]]*0.3</f>
        <v>0</v>
      </c>
      <c r="I33" s="30">
        <f t="shared" si="0"/>
        <v>0</v>
      </c>
      <c r="J33" s="32">
        <v>0</v>
      </c>
      <c r="K33" s="30">
        <f>SUM(Spesen[[#This Row],[HOTEL]:[BEWIRTUNG]],Spesen[[#This Row],[KM-PAUSCHALE
 (km x 0,30 €)]:[SONSTIGES]])</f>
        <v>0</v>
      </c>
      <c r="N33" s="33"/>
      <c r="O33" s="33"/>
      <c r="P33" s="34"/>
      <c r="Q33" s="34"/>
      <c r="R33" s="34"/>
      <c r="T33" s="39"/>
    </row>
    <row r="34" spans="2:20" x14ac:dyDescent="0.45">
      <c r="B34" s="35"/>
      <c r="C34" s="31"/>
      <c r="D34" s="32">
        <v>0</v>
      </c>
      <c r="E34" s="32">
        <v>0</v>
      </c>
      <c r="F34" s="32">
        <v>0</v>
      </c>
      <c r="G34" s="37"/>
      <c r="H34" s="30">
        <f>Spesen[[#This Row],[GEFAHRENE KM]]*0.3</f>
        <v>0</v>
      </c>
      <c r="I34" s="30">
        <f t="shared" si="0"/>
        <v>0</v>
      </c>
      <c r="J34" s="32">
        <v>0</v>
      </c>
      <c r="K34" s="30">
        <f>SUM(Spesen[[#This Row],[HOTEL]:[BEWIRTUNG]],Spesen[[#This Row],[KM-PAUSCHALE
 (km x 0,30 €)]:[SONSTIGES]])</f>
        <v>0</v>
      </c>
      <c r="N34" s="33"/>
      <c r="O34" s="33"/>
      <c r="P34" s="34"/>
      <c r="Q34" s="34"/>
      <c r="R34" s="34"/>
      <c r="T34" s="39"/>
    </row>
    <row r="35" spans="2:20" x14ac:dyDescent="0.45">
      <c r="B35" s="35"/>
      <c r="C35" s="31"/>
      <c r="D35" s="32">
        <v>0</v>
      </c>
      <c r="E35" s="32">
        <v>0</v>
      </c>
      <c r="F35" s="32">
        <v>0</v>
      </c>
      <c r="G35" s="37"/>
      <c r="H35" s="30">
        <f>Spesen[[#This Row],[GEFAHRENE KM]]*0.3</f>
        <v>0</v>
      </c>
      <c r="I35" s="30">
        <f t="shared" si="0"/>
        <v>0</v>
      </c>
      <c r="J35" s="32">
        <v>0</v>
      </c>
      <c r="K35" s="30">
        <f>SUM(Spesen[[#This Row],[HOTEL]:[BEWIRTUNG]],Spesen[[#This Row],[KM-PAUSCHALE
 (km x 0,30 €)]:[SONSTIGES]])</f>
        <v>0</v>
      </c>
      <c r="N35" s="33"/>
      <c r="O35" s="33"/>
      <c r="P35" s="34"/>
      <c r="Q35" s="34"/>
      <c r="R35" s="34"/>
      <c r="T35" s="39"/>
    </row>
    <row r="36" spans="2:20" x14ac:dyDescent="0.45">
      <c r="B36" s="35"/>
      <c r="C36" s="31"/>
      <c r="D36" s="32">
        <v>0</v>
      </c>
      <c r="E36" s="32">
        <v>0</v>
      </c>
      <c r="F36" s="32">
        <v>0</v>
      </c>
      <c r="G36" s="37"/>
      <c r="H36" s="30">
        <f>Spesen[[#This Row],[GEFAHRENE KM]]*0.3</f>
        <v>0</v>
      </c>
      <c r="I36" s="30">
        <f t="shared" si="0"/>
        <v>0</v>
      </c>
      <c r="J36" s="32">
        <v>0</v>
      </c>
      <c r="K36" s="30">
        <f>SUM(Spesen[[#This Row],[HOTEL]:[BEWIRTUNG]],Spesen[[#This Row],[KM-PAUSCHALE
 (km x 0,30 €)]:[SONSTIGES]])</f>
        <v>0</v>
      </c>
      <c r="N36" s="33"/>
      <c r="O36" s="33"/>
      <c r="P36" s="34"/>
      <c r="Q36" s="34"/>
      <c r="R36" s="34"/>
      <c r="T36" s="39"/>
    </row>
    <row r="37" spans="2:20" x14ac:dyDescent="0.45">
      <c r="B37" s="35"/>
      <c r="C37" s="31"/>
      <c r="D37" s="32">
        <v>0</v>
      </c>
      <c r="E37" s="32">
        <v>0</v>
      </c>
      <c r="F37" s="32">
        <v>0</v>
      </c>
      <c r="G37" s="37"/>
      <c r="H37" s="30">
        <f>Spesen[[#This Row],[GEFAHRENE KM]]*0.3</f>
        <v>0</v>
      </c>
      <c r="I37" s="30">
        <f t="shared" si="0"/>
        <v>0</v>
      </c>
      <c r="J37" s="32">
        <v>0</v>
      </c>
      <c r="K37" s="30">
        <f>SUM(Spesen[[#This Row],[HOTEL]:[BEWIRTUNG]],Spesen[[#This Row],[KM-PAUSCHALE
 (km x 0,30 €)]:[SONSTIGES]])</f>
        <v>0</v>
      </c>
      <c r="N37" s="33"/>
      <c r="O37" s="33"/>
      <c r="P37" s="34"/>
      <c r="Q37" s="34"/>
      <c r="R37" s="34"/>
      <c r="T37" s="39"/>
    </row>
    <row r="38" spans="2:20" x14ac:dyDescent="0.45">
      <c r="B38" s="35"/>
      <c r="C38" s="31"/>
      <c r="D38" s="32">
        <v>0</v>
      </c>
      <c r="E38" s="32">
        <v>0</v>
      </c>
      <c r="F38" s="32">
        <v>0</v>
      </c>
      <c r="G38" s="37"/>
      <c r="H38" s="30">
        <f>Spesen[[#This Row],[GEFAHRENE KM]]*0.3</f>
        <v>0</v>
      </c>
      <c r="I38" s="30">
        <f t="shared" si="0"/>
        <v>0</v>
      </c>
      <c r="J38" s="32">
        <v>0</v>
      </c>
      <c r="K38" s="30">
        <f>SUM(Spesen[[#This Row],[HOTEL]:[BEWIRTUNG]],Spesen[[#This Row],[KM-PAUSCHALE
 (km x 0,30 €)]:[SONSTIGES]])</f>
        <v>0</v>
      </c>
      <c r="N38" s="33"/>
      <c r="O38" s="33"/>
      <c r="P38" s="34"/>
      <c r="Q38" s="34"/>
      <c r="R38" s="34"/>
      <c r="T38" s="39"/>
    </row>
    <row r="39" spans="2:20" x14ac:dyDescent="0.45">
      <c r="B39" s="35"/>
      <c r="C39" s="31"/>
      <c r="D39" s="32">
        <v>0</v>
      </c>
      <c r="E39" s="32">
        <v>0</v>
      </c>
      <c r="F39" s="32">
        <v>0</v>
      </c>
      <c r="G39" s="37"/>
      <c r="H39" s="30">
        <f>Spesen[[#This Row],[GEFAHRENE KM]]*0.3</f>
        <v>0</v>
      </c>
      <c r="I39" s="30">
        <f t="shared" si="0"/>
        <v>0</v>
      </c>
      <c r="J39" s="32">
        <v>0</v>
      </c>
      <c r="K39" s="30">
        <f>SUM(Spesen[[#This Row],[HOTEL]:[BEWIRTUNG]],Spesen[[#This Row],[KM-PAUSCHALE
 (km x 0,30 €)]:[SONSTIGES]])</f>
        <v>0</v>
      </c>
      <c r="N39" s="33"/>
      <c r="O39" s="33"/>
      <c r="P39" s="34"/>
      <c r="Q39" s="34"/>
      <c r="R39" s="34"/>
      <c r="T39" s="39"/>
    </row>
    <row r="40" spans="2:20" x14ac:dyDescent="0.45">
      <c r="B40" s="35"/>
      <c r="C40" s="31"/>
      <c r="D40" s="32">
        <v>0</v>
      </c>
      <c r="E40" s="32">
        <v>0</v>
      </c>
      <c r="F40" s="32">
        <v>0</v>
      </c>
      <c r="G40" s="37"/>
      <c r="H40" s="30">
        <f>Spesen[[#This Row],[GEFAHRENE KM]]*0.3</f>
        <v>0</v>
      </c>
      <c r="I40" s="30">
        <f t="shared" si="0"/>
        <v>0</v>
      </c>
      <c r="J40" s="32">
        <v>0</v>
      </c>
      <c r="K40" s="30">
        <f>SUM(Spesen[[#This Row],[HOTEL]:[BEWIRTUNG]],Spesen[[#This Row],[KM-PAUSCHALE
 (km x 0,30 €)]:[SONSTIGES]])</f>
        <v>0</v>
      </c>
      <c r="N40" s="33"/>
      <c r="O40" s="33"/>
      <c r="P40" s="34"/>
      <c r="Q40" s="34"/>
      <c r="R40" s="34"/>
      <c r="T40" s="39"/>
    </row>
    <row r="41" spans="2:20" x14ac:dyDescent="0.45">
      <c r="B41" s="26" t="s">
        <v>2</v>
      </c>
      <c r="C41" s="27"/>
      <c r="D41" s="28">
        <f>SUBTOTAL(109,Spesen[HOTEL])</f>
        <v>0</v>
      </c>
      <c r="E41" s="28">
        <f>SUBTOTAL(109,Spesen[TRANSPORT])</f>
        <v>58.9</v>
      </c>
      <c r="F41" s="28">
        <f>SUBTOTAL(109,Spesen[BEWIRTUNG])</f>
        <v>0</v>
      </c>
      <c r="G41" s="29"/>
      <c r="H41" s="28">
        <f>SUBTOTAL(109,Spesen[KM-PAUSCHALE
 (km x 0,30 €)])</f>
        <v>10.199999999999999</v>
      </c>
      <c r="I41" s="28">
        <f>SUBTOTAL(109,Spesen[VERPFLEGUNGS-MEHRAUFWAND])</f>
        <v>25.2</v>
      </c>
      <c r="J41" s="28">
        <f>SUBTOTAL(109, Spesen[SONSTIGES])</f>
        <v>0</v>
      </c>
      <c r="K41" s="28">
        <f>SUBTOTAL(109,Spesen[[SUMME ]])</f>
        <v>94.3</v>
      </c>
    </row>
    <row r="42" spans="2:20" ht="58.05" customHeight="1" x14ac:dyDescent="0.35">
      <c r="B42" s="44" t="s">
        <v>13</v>
      </c>
      <c r="C42" s="44"/>
      <c r="D42" s="44" t="s">
        <v>39</v>
      </c>
      <c r="E42" s="44"/>
      <c r="H42" s="13"/>
      <c r="I42" s="13"/>
    </row>
    <row r="43" spans="2:20" x14ac:dyDescent="0.45">
      <c r="B43" s="15" t="s">
        <v>12</v>
      </c>
      <c r="C43" s="14"/>
      <c r="D43" s="40" t="s">
        <v>16</v>
      </c>
      <c r="E43" s="40"/>
    </row>
  </sheetData>
  <sheetProtection sheet="1" insertRows="0" selectLockedCells="1"/>
  <mergeCells count="7">
    <mergeCell ref="T11:T40"/>
    <mergeCell ref="D43:E43"/>
    <mergeCell ref="C4:D4"/>
    <mergeCell ref="C6:D6"/>
    <mergeCell ref="C7:D7"/>
    <mergeCell ref="B42:C42"/>
    <mergeCell ref="D42:E42"/>
  </mergeCells>
  <phoneticPr fontId="14" type="noConversion"/>
  <dataValidations count="3">
    <dataValidation allowBlank="1" showErrorMessage="1" sqref="T10 B10 H7:H9 A4:G9 I4:K9 H4 C10:K40" xr:uid="{0436C7CD-8216-1D4F-82CF-73C0DAF264F7}"/>
    <dataValidation type="date" allowBlank="1" showInputMessage="1" showErrorMessage="1" sqref="H5:H6" xr:uid="{0FBA360F-B9DE-5D4A-8FA5-4E53AC2B4C3D}">
      <formula1>45658</formula1>
      <formula2>73050</formula2>
    </dataValidation>
    <dataValidation type="date" allowBlank="1" showInputMessage="1" showErrorMessage="1" errorTitle="Falsches Datum" error="Datum außerhalb des Abrechnungszeitraums" sqref="B11:B40" xr:uid="{8F74343B-61D9-2843-BC8D-8BC27F9BBC5C}">
      <formula1>AnfangsDatum</formula1>
      <formula2>EndDatum</formula2>
    </dataValidation>
  </dataValidations>
  <printOptions horizontalCentered="1"/>
  <pageMargins left="0.25" right="0.25" top="0.75" bottom="0.75" header="0.3" footer="0.3"/>
  <pageSetup paperSize="9" fitToHeight="0" orientation="landscape" r:id="rId1"/>
  <headerFooter>
    <oddFooter>&amp;CPage &amp;P of &amp;N</oddFooter>
  </headerFooter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 errorTitle="Ungültiger Reisetag" error="Bitte gültige Art des Reisetages auswählen." promptTitle="Test Title" xr:uid="{C4E4A38B-BBE5-7A4B-85B5-5F085E2768F5}">
          <x14:formula1>
            <xm:f>Listen!$A$4:$A$7</xm:f>
          </x14:formula1>
          <xm:sqref>O11:O40</xm:sqref>
        </x14:dataValidation>
        <x14:dataValidation type="list" allowBlank="1" showErrorMessage="1" errorTitle="Falsche Auswahl" error="Bitte angeben, ob Mahlzeit von sqior bezahlt wurde." xr:uid="{5CA4D953-708F-5D4D-883E-0E8C2AD3C5B0}">
          <x14:formula1>
            <xm:f>Listen!$G$4:$G$5</xm:f>
          </x14:formula1>
          <xm:sqref>P11:R40</xm:sqref>
        </x14:dataValidation>
        <x14:dataValidation type="list" allowBlank="1" showErrorMessage="1" errorTitle="Ungültiges Reiseland" error="Bitte ein freigegebenes Reiseland angeben." xr:uid="{BDF43068-420F-3348-9730-15A58F245AE6}">
          <x14:formula1>
            <xm:f>Listen!$C$4:$C$6</xm:f>
          </x14:formula1>
          <xm:sqref>N11:N40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1C67E-1A85-464D-B95D-2A58BBCC6751}">
  <dimension ref="A1:G7"/>
  <sheetViews>
    <sheetView workbookViewId="0">
      <selection activeCell="C7" sqref="C7"/>
    </sheetView>
  </sheetViews>
  <sheetFormatPr baseColWidth="10" defaultRowHeight="14.25" x14ac:dyDescent="0.45"/>
  <cols>
    <col min="1" max="2" width="22" customWidth="1"/>
    <col min="3" max="3" width="38.33203125" customWidth="1"/>
    <col min="4" max="5" width="4.1328125" bestFit="1" customWidth="1"/>
    <col min="6" max="6" width="22" customWidth="1"/>
    <col min="7" max="7" width="17.33203125" customWidth="1"/>
  </cols>
  <sheetData>
    <row r="1" spans="1:7" x14ac:dyDescent="0.45">
      <c r="A1" t="s">
        <v>25</v>
      </c>
    </row>
    <row r="3" spans="1:7" x14ac:dyDescent="0.45">
      <c r="A3" s="16" t="s">
        <v>24</v>
      </c>
      <c r="B3" s="16"/>
      <c r="C3" s="16" t="s">
        <v>31</v>
      </c>
      <c r="D3" s="16"/>
      <c r="E3" s="16"/>
      <c r="F3" s="16"/>
      <c r="G3" s="16" t="s">
        <v>28</v>
      </c>
    </row>
    <row r="4" spans="1:7" x14ac:dyDescent="0.45">
      <c r="A4" s="18" t="s">
        <v>40</v>
      </c>
      <c r="C4" s="18" t="s">
        <v>32</v>
      </c>
      <c r="D4">
        <v>28</v>
      </c>
      <c r="E4">
        <v>14</v>
      </c>
      <c r="G4" s="18" t="s">
        <v>29</v>
      </c>
    </row>
    <row r="5" spans="1:7" x14ac:dyDescent="0.45">
      <c r="A5" s="18" t="s">
        <v>26</v>
      </c>
      <c r="C5" s="18" t="s">
        <v>33</v>
      </c>
      <c r="D5">
        <v>50</v>
      </c>
      <c r="E5">
        <v>33</v>
      </c>
      <c r="G5" s="18" t="s">
        <v>30</v>
      </c>
    </row>
    <row r="6" spans="1:7" x14ac:dyDescent="0.45">
      <c r="A6" s="18" t="s">
        <v>27</v>
      </c>
      <c r="C6" s="18" t="s">
        <v>34</v>
      </c>
      <c r="D6">
        <v>70</v>
      </c>
      <c r="E6">
        <v>47</v>
      </c>
    </row>
    <row r="7" spans="1:7" x14ac:dyDescent="0.45">
      <c r="A7" s="18" t="s">
        <v>41</v>
      </c>
      <c r="C7" s="17"/>
      <c r="D7" s="17"/>
      <c r="E7" s="17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5031A49D63ADB74394B1136C1ACD336B" ma:contentTypeVersion="16" ma:contentTypeDescription="Ein neues Dokument erstellen." ma:contentTypeScope="" ma:versionID="edbb4ee6572d11fea431ef70aaf07c4c">
  <xsd:schema xmlns:xsd="http://www.w3.org/2001/XMLSchema" xmlns:xs="http://www.w3.org/2001/XMLSchema" xmlns:p="http://schemas.microsoft.com/office/2006/metadata/properties" xmlns:ns2="e47eaf51-7e08-4328-bb3b-1d598c8ebf68" xmlns:ns3="f575e5b7-4969-42d0-a2fd-8f2d36524bc1" targetNamespace="http://schemas.microsoft.com/office/2006/metadata/properties" ma:root="true" ma:fieldsID="5c9f5515633513d9686c2476fff8ff70" ns2:_="" ns3:_="">
    <xsd:import namespace="e47eaf51-7e08-4328-bb3b-1d598c8ebf68"/>
    <xsd:import namespace="f575e5b7-4969-42d0-a2fd-8f2d36524bc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LengthInSeconds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7eaf51-7e08-4328-bb3b-1d598c8ebf6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Bildmarkierungen" ma:readOnly="false" ma:fieldId="{5cf76f15-5ced-4ddc-b409-7134ff3c332f}" ma:taxonomyMulti="true" ma:sspId="0c100529-0ffe-4037-b222-68e7d54ea28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5e5b7-4969-42d0-a2fd-8f2d36524bc1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f4c7b7ac-3461-4fd8-815b-c8191c3669ee}" ma:internalName="TaxCatchAll" ma:showField="CatchAllData" ma:web="f575e5b7-4969-42d0-a2fd-8f2d36524bc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47eaf51-7e08-4328-bb3b-1d598c8ebf68">
      <Terms xmlns="http://schemas.microsoft.com/office/infopath/2007/PartnerControls"/>
    </lcf76f155ced4ddcb4097134ff3c332f>
    <TaxCatchAll xmlns="f575e5b7-4969-42d0-a2fd-8f2d36524bc1" xsi:nil="true"/>
  </documentManagement>
</p:properties>
</file>

<file path=customXml/item4.xml><?xml version="1.0" encoding="utf-8"?>
<BSO999929 xmlns="http://www.datev.de/BSOffice/999929">bb665748-dc1c-4c4c-891f-29f276d2ebdd</BSO999929>
</file>

<file path=customXml/itemProps1.xml><?xml version="1.0" encoding="utf-8"?>
<ds:datastoreItem xmlns:ds="http://schemas.openxmlformats.org/officeDocument/2006/customXml" ds:itemID="{A4398F05-D20C-4A4E-AF19-2CC930EF610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210C196-3B70-4BAF-9A1A-585FE4841AEE}"/>
</file>

<file path=customXml/itemProps3.xml><?xml version="1.0" encoding="utf-8"?>
<ds:datastoreItem xmlns:ds="http://schemas.openxmlformats.org/officeDocument/2006/customXml" ds:itemID="{AEE2F1E6-1DD6-4F87-A109-E1CCBF27B417}">
  <ds:schemaRefs>
    <ds:schemaRef ds:uri="http://purl.org/dc/dcmitype/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bc5859ae-29ad-46b2-ad1c-f6adee34fcbd"/>
    <ds:schemaRef ds:uri="http://purl.org/dc/terms/"/>
  </ds:schemaRefs>
</ds:datastoreItem>
</file>

<file path=customXml/itemProps4.xml><?xml version="1.0" encoding="utf-8"?>
<ds:datastoreItem xmlns:ds="http://schemas.openxmlformats.org/officeDocument/2006/customXml" ds:itemID="{9CFCEAEE-E7A5-48D2-8DF9-AC8423609FF1}">
  <ds:schemaRefs>
    <ds:schemaRef ds:uri="http://www.datev.de/BSOffice/9999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11</vt:i4>
      </vt:variant>
    </vt:vector>
  </HeadingPairs>
  <TitlesOfParts>
    <vt:vector size="13" baseType="lpstr">
      <vt:lpstr>Spesenabrechnung</vt:lpstr>
      <vt:lpstr>Listen</vt:lpstr>
      <vt:lpstr>AlleDaten</vt:lpstr>
      <vt:lpstr>AnfangsDatum</vt:lpstr>
      <vt:lpstr>Spesenabrechnung!Druckbereich</vt:lpstr>
      <vt:lpstr>Spesenabrechnung!Drucktitel</vt:lpstr>
      <vt:lpstr>EndDatum</vt:lpstr>
      <vt:lpstr>KilometerPauschale</vt:lpstr>
      <vt:lpstr>Spaltentitel1</vt:lpstr>
      <vt:lpstr>ZeilenTitelBereich1..C7</vt:lpstr>
      <vt:lpstr>ZeilenTitelBereich2..F7</vt:lpstr>
      <vt:lpstr>ZeilenTitelBereich3..J8</vt:lpstr>
      <vt:lpstr>ZeilenTitelBereich4..M8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Julia Lorenz</dc:creator>
  <cp:lastModifiedBy>Julia Lorenz</cp:lastModifiedBy>
  <cp:lastPrinted>2020-04-30T06:36:06Z</cp:lastPrinted>
  <dcterms:created xsi:type="dcterms:W3CDTF">2017-05-01T05:29:40Z</dcterms:created>
  <dcterms:modified xsi:type="dcterms:W3CDTF">2026-01-23T17:16:19Z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0x0101005031A49D63ADB74394B1136C1ACD336B</vt:lpwstr>
  </property>
</Properties>
</file>